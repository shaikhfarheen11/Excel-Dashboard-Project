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E4D70C07-7AB9-4AAD-86AF-1CE9DE811266}" xr6:coauthVersionLast="47" xr6:coauthVersionMax="47" xr10:uidLastSave="{00000000-0000-0000-0000-000000000000}"/>
  <bookViews>
    <workbookView xWindow="-104" yWindow="-104" windowWidth="22326" windowHeight="11947" activeTab="1" xr2:uid="{7ADE5113-4D98-401D-A968-C3D1197070D1}"/>
  </bookViews>
  <sheets>
    <sheet name="Pivot Report" sheetId="1" r:id="rId1"/>
    <sheet name="Dashboard" sheetId="5" r:id="rId2"/>
    <sheet name="Satisfaction score daily trends" sheetId="9" r:id="rId3"/>
    <sheet name="Daily ER no of patient" sheetId="6" r:id="rId4"/>
    <sheet name="Average wait time daily trends" sheetId="7" r:id="rId5"/>
  </sheets>
  <definedNames>
    <definedName name="Slicer_Date__Month">#N/A</definedName>
    <definedName name="Slicer_Date__Year">#N/A</definedName>
  </definedNames>
  <calcPr calcId="191029"/>
  <customWorkbookViews>
    <customWorkbookView name="Room Data" guid="{1BC8C909-2CA7-4A69-9B40-FF0C6C3F6B53}" maximized="1" xWindow="-9" yWindow="-9" windowWidth="1938" windowHeight="1037" activeSheetId="5"/>
  </customWorkbookViews>
  <pivotCaches>
    <pivotCache cacheId="856" r:id="rId6"/>
    <pivotCache cacheId="859" r:id="rId7"/>
    <pivotCache cacheId="862" r:id="rId8"/>
    <pivotCache cacheId="865" r:id="rId9"/>
    <pivotCache cacheId="868" r:id="rId10"/>
    <pivotCache cacheId="871" r:id="rId11"/>
    <pivotCache cacheId="874" r:id="rId12"/>
    <pivotCache cacheId="877" r:id="rId13"/>
    <pivotCache cacheId="880" r:id="rId14"/>
    <pivotCache cacheId="883" r:id="rId15"/>
    <pivotCache cacheId="886" r:id="rId16"/>
    <pivotCache cacheId="889" r:id="rId17"/>
    <pivotCache cacheId="892" r:id="rId18"/>
  </pivotCaches>
  <extLst>
    <ext xmlns:x14="http://schemas.microsoft.com/office/spreadsheetml/2009/9/main" uri="{876F7934-8845-4945-9796-88D515C7AA90}">
      <x14:pivotCaches>
        <pivotCache cacheId="13" r:id="rId19"/>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dfbfaf5-6f3f-49d6-96ce-668469dc0f77" name="Hospital Emergency Room Data" connection="Query - Hospital Emergency Room Data"/>
          <x15:modelTable id="Calendar_Table_33e6aeda-4326-4ba1-b4fc-e4dfe3d6ee6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2" i="1" l="1"/>
  <c r="B52" i="1"/>
  <c r="A52" i="1"/>
  <c r="C51" i="1"/>
  <c r="B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2DA8DB-937C-41C4-98F8-742807D96BC2}" name="Query - Calendar_Table" description="Connection to the 'Calendar_Table' query in the workbook." type="100" refreshedVersion="8" minRefreshableVersion="5">
    <extLst>
      <ext xmlns:x15="http://schemas.microsoft.com/office/spreadsheetml/2010/11/main" uri="{DE250136-89BD-433C-8126-D09CA5730AF9}">
        <x15:connection id="8c073e7c-fc91-415e-932f-089bcb5e287d"/>
      </ext>
    </extLst>
  </connection>
  <connection id="2" xr16:uid="{418806CE-72C8-4F4C-A36B-8D6EC40C1AC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a9c8c99-30f1-431c-8059-8d7c115d521b"/>
      </ext>
    </extLst>
  </connection>
  <connection id="3" xr16:uid="{1863BB47-E99D-43EA-BE28-B90D39BE2BB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<sst xmlns="http://schemas.openxmlformats.org/spreadsheetml/2006/main" count="157" uniqueCount="77">
  <si>
    <t>Distinct Count of Patient Id</t>
  </si>
  <si>
    <t>No of patient</t>
  </si>
  <si>
    <t>Average of Patient Waittime</t>
  </si>
  <si>
    <t>Average of Patient Satisfaction Score</t>
  </si>
  <si>
    <t>Row Labels</t>
  </si>
  <si>
    <t>Grand Total</t>
  </si>
  <si>
    <t>daily tends of number of patient</t>
  </si>
  <si>
    <t>average wait time</t>
  </si>
  <si>
    <r>
      <t xml:space="preserve">Use an area chart to track daily changes and highlighted days with longer wait times that might need improvement </t>
    </r>
    <r>
      <rPr>
        <sz val="11"/>
        <color theme="1"/>
        <rFont val="Calibri"/>
        <family val="2"/>
      </rPr>
      <t>‌‌</t>
    </r>
    <r>
      <rPr>
        <sz val="11"/>
        <color theme="1"/>
        <rFont val="Calibri"/>
        <family val="2"/>
        <scheme val="minor"/>
      </rPr>
      <t> </t>
    </r>
  </si>
  <si>
    <t>Showing a daily trend with an area sparkline to spot patterns like busy days or seasonal trends.</t>
  </si>
  <si>
    <t>Satisfaction score daily trends</t>
  </si>
  <si>
    <t>Use an area Chart to show trends, spot drops in satisfaction, and link them to busy times or challenges.</t>
  </si>
  <si>
    <t>Count of Patient Admission Flag</t>
  </si>
  <si>
    <t>Admitted</t>
  </si>
  <si>
    <t>Not admitted</t>
  </si>
  <si>
    <t>Count of Patient Admission Flag2</t>
  </si>
  <si>
    <t>Admission Status</t>
  </si>
  <si>
    <t>No. of patient</t>
  </si>
  <si>
    <t>% Status</t>
  </si>
  <si>
    <t>0-9</t>
  </si>
  <si>
    <t>10-19</t>
  </si>
  <si>
    <t>20-29</t>
  </si>
  <si>
    <t>30-39</t>
  </si>
  <si>
    <t>40-49</t>
  </si>
  <si>
    <t>50-59</t>
  </si>
  <si>
    <t>60-69</t>
  </si>
  <si>
    <t>70-79</t>
  </si>
  <si>
    <t>Count of Age group</t>
  </si>
  <si>
    <t>age group of analysis</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</si>
  <si>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</si>
  <si>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</si>
  <si>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</si>
  <si>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</si>
  <si>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</si>
  <si>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</si>
  <si>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</si>
  <si>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</si>
  <si>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</si>
  <si>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</si>
  <si>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</si>
  <si>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</si>
  <si>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</si>
  <si>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Qtr4</t>
  </si>
  <si>
    <t>Nov</t>
  </si>
  <si>
    <t>2023</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</si>
  <si>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</si>
  <si>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</si>
  <si>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</si>
  <si>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</si>
  <si>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</si>
  <si>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</si>
  <si>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</si>
  <si>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</si>
  <si>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</si>
  <si>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</si>
  <si>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</si>
  <si>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</si>
  <si>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</si>
  <si>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</si>
  <si>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</si>
  <si>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</si>
  <si>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</si>
  <si>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</si>
  <si>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</si>
  <si>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</si>
  <si>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</si>
  <si>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</si>
  <si>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</si>
  <si>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</si>
  <si>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</si>
  <si>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</si>
  <si>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</si>
  <si>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</si>
  <si>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</si>
  <si>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</si>
  <si>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Delay</t>
  </si>
  <si>
    <t>Ontime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</si>
</sst>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font>
    <font>
      <b/>
      <sz val="11"/>
      <color theme="0"/>
      <name val="Calibri"/>
      <family val="2"/>
      <scheme val="minor"/>
    </font>
    <font>
      <sz val="8"/>
      <color rgb="FF000000"/>
      <name val="Constantia"/>
      <family val="1"/>
    </font>
  </fonts>
  <fills count="8">
    <fill>
      <patternFill patternType="none"/>
    </fill>
    <fill>
      <patternFill patternType="gray125"/>
    </fill>
    <fill>
      <patternFill patternType="solid">
        <fgColor theme="3" tint="0.39997558519241921"/>
        <bgColor indexed="64"/>
      </patternFill>
    </fill>
    <fill>
      <patternFill patternType="solid">
        <fgColor theme="1" tint="0.34998626667073579"/>
        <bgColor indexed="64"/>
      </patternFill>
    </fill>
    <fill>
      <patternFill patternType="solid">
        <fgColor theme="6"/>
        <bgColor indexed="64"/>
      </patternFill>
    </fill>
    <fill>
      <patternFill patternType="solid">
        <fgColor theme="2" tint="-0.249977111117893"/>
        <bgColor indexed="64"/>
      </patternFill>
    </fill>
    <fill>
      <patternFill patternType="solid">
        <fgColor rgb="FF00B0F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0" fillId="3" borderId="0" xfId="0" applyFill="1"/>
    <xf numFmtId="0" fontId="0" fillId="0" borderId="0" xfId="0" pivotButton="1"/>
    <xf numFmtId="0" fontId="0" fillId="0" borderId="0" xfId="0" applyAlignment="1">
      <alignment horizontal="left"/>
    </xf>
    <xf numFmtId="2" fontId="0" fillId="0" borderId="0" xfId="0" applyNumberFormat="1"/>
    <xf numFmtId="0" fontId="0" fillId="4" borderId="0" xfId="0" applyFill="1"/>
    <xf numFmtId="0" fontId="0" fillId="5" borderId="0" xfId="0" applyFill="1"/>
    <xf numFmtId="10" fontId="0" fillId="0" borderId="0" xfId="0" applyNumberFormat="1"/>
    <xf numFmtId="0" fontId="0" fillId="6" borderId="0" xfId="0" applyFill="1" applyAlignment="1">
      <alignment horizontal="center"/>
    </xf>
    <xf numFmtId="0" fontId="0" fillId="7" borderId="0" xfId="0" applyFill="1" applyAlignment="1">
      <alignment horizontal="center"/>
    </xf>
    <xf numFmtId="10" fontId="0" fillId="7" borderId="0" xfId="0" applyNumberFormat="1" applyFill="1" applyAlignment="1">
      <alignment horizontal="center"/>
    </xf>
    <xf numFmtId="0" fontId="2" fillId="6" borderId="0" xfId="0" applyFont="1" applyFill="1" applyAlignment="1">
      <alignment horizontal="center"/>
    </xf>
    <xf numFmtId="0" fontId="3" fillId="0" borderId="0" xfId="0" applyFont="1"/>
    <xf numFmtId="0" fontId="0" fillId="0" borderId="0" xfId="0" applyAlignment="1">
      <alignment horizontal="left" indent="1"/>
    </xf>
    <xf numFmtId="0" fontId="0" fillId="0" borderId="0" xfId="0" applyNumberFormat="1"/>
    <xf numFmtId="0" fontId="0" fillId="0" borderId="0" xfId="0" applyAlignment="1">
      <alignment horizontal="left" indent="2"/>
    </xf>
  </cellXfs>
  <cellStyles count="1">
    <cellStyle name="Normal" xfId="0" builtinId="0"/>
  </cellStyles>
  <dxfs count="26">
    <dxf>
      <fill>
        <patternFill patternType="solid">
          <bgColor theme="3" tint="0.39997558519241921"/>
        </patternFill>
      </fill>
    </dxf>
    <dxf>
      <numFmt numFmtId="2" formatCode="0.00"/>
    </dxf>
    <dxf>
      <fill>
        <patternFill patternType="solid">
          <bgColor theme="3" tint="0.39997558519241921"/>
        </patternFill>
      </fill>
    </dxf>
    <dxf>
      <numFmt numFmtId="2" formatCode="0.00"/>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numFmt numFmtId="2" formatCode="0.00"/>
    </dxf>
    <dxf>
      <fill>
        <patternFill patternType="solid">
          <bgColor theme="3" tint="0.39997558519241921"/>
        </patternFill>
      </fill>
    </dxf>
    <dxf>
      <fill>
        <patternFill patternType="solid">
          <bgColor theme="3" tint="0.39997558519241921"/>
        </patternFill>
      </fill>
    </dxf>
    <dxf>
      <numFmt numFmtId="2" formatCode="0.00"/>
    </dxf>
    <dxf>
      <fill>
        <patternFill patternType="solid">
          <bgColor theme="3" tint="0.39997558519241921"/>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fill>
        <patternFill>
          <bgColor theme="0" tint="-0.14996795556505021"/>
        </patternFill>
      </fill>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sz val="6"/>
        <color theme="1"/>
      </font>
      <fill>
        <patternFill>
          <bgColor theme="0" tint="-4.9989318521683403E-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7"/>
        <color theme="1"/>
      </font>
      <fill>
        <patternFill>
          <bgColor theme="0" tint="-4.9989318521683403E-2"/>
        </patternFill>
      </fill>
      <border>
        <left style="thin">
          <color theme="5"/>
        </left>
        <right style="thin">
          <color theme="5"/>
        </right>
        <top style="thin">
          <color theme="5"/>
        </top>
        <bottom style="thin">
          <color theme="5"/>
        </bottom>
        <vertical/>
        <horizontal/>
      </border>
    </dxf>
    <dxf>
      <font>
        <b/>
        <color theme="1"/>
      </font>
      <fill>
        <patternFill>
          <bgColor theme="2" tint="-9.9948118533890809E-2"/>
        </patternFill>
      </fill>
      <border>
        <bottom style="thin">
          <color theme="5"/>
        </bottom>
        <vertical/>
        <horizontal/>
      </border>
    </dxf>
    <dxf>
      <font>
        <sz val="7"/>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sz val="8"/>
        <color theme="1"/>
      </font>
      <fill>
        <patternFill patternType="solid">
          <fgColor theme="2"/>
          <bgColor theme="2" tint="-9.9948118533890809E-2"/>
        </patternFill>
      </fill>
      <border>
        <vertical/>
        <horizontal/>
      </border>
    </dxf>
  </dxfs>
  <tableStyles count="7" defaultTableStyle="TableStyleMedium2" defaultPivotStyle="PivotStyleLight16">
    <tableStyle name="My Style 2" pivot="0" table="0" count="10" xr9:uid="{F46F00A6-4672-43CC-B6EF-2A6F4D9820BB}">
      <tableStyleElement type="wholeTable" dxfId="25"/>
      <tableStyleElement type="headerRow" dxfId="24"/>
    </tableStyle>
    <tableStyle name="My Style 3" pivot="0" table="0" count="10" xr9:uid="{B9548FC4-9488-4A9A-B821-A8894FFB1616}">
      <tableStyleElement type="wholeTable" dxfId="23"/>
      <tableStyleElement type="headerRow" dxfId="22"/>
    </tableStyle>
    <tableStyle name="My Style 4" pivot="0" table="0" count="10" xr9:uid="{754F592D-46E0-49EE-B3CD-DDBB5678BE46}">
      <tableStyleElement type="wholeTable" dxfId="21"/>
      <tableStyleElement type="headerRow" dxfId="20"/>
    </tableStyle>
    <tableStyle name="My Style 5" pivot="0" table="0" count="10" xr9:uid="{33E7BE31-A518-45BF-81D7-39DBCDB6BC72}">
      <tableStyleElement type="wholeTable" dxfId="19"/>
      <tableStyleElement type="headerRow" dxfId="18"/>
    </tableStyle>
    <tableStyle name="My Stylee" pivot="0" table="0" count="10" xr9:uid="{787E01FE-71DA-418D-890D-250E3AC3A709}">
      <tableStyleElement type="wholeTable" dxfId="17"/>
      <tableStyleElement type="headerRow" dxfId="16"/>
    </tableStyle>
    <tableStyle name="SlicerStyleLight1 2" pivot="0" table="0" count="10" xr9:uid="{8EC5FFAD-CF6C-4EC0-952E-373535A8DB62}">
      <tableStyleElement type="wholeTable" dxfId="15"/>
      <tableStyleElement type="headerRow" dxfId="14"/>
    </tableStyle>
    <tableStyle name="SlicerStyleLight1 2 2" pivot="0" table="0" count="10" xr9:uid="{CB8DE3D8-76CE-41F0-AE96-46A25ED2151B}">
      <tableStyleElement type="wholeTable" dxfId="13"/>
      <tableStyleElement type="headerRow" dxfId="12"/>
    </tableStyle>
  </tableStyles>
  <colors>
    <mruColors>
      <color rgb="FF3366CC"/>
      <color rgb="FF006699"/>
      <color rgb="FFEE988A"/>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3" tint="0.5999633777886288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9.9948118533890809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theme="0" tint="-0.149967955565050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E988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0.2499465926084170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6" tint="0.3999450666829432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 Style 3">
        <x14:slicerStyle name="My Style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My Style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My Style 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y Style 5">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[Room Data(AutoRecovered) (Recovered).xlsx]Pivot Report!PivotTable10</c:name>
    <c:fmtId val="9"/>
  </c:pivotSource>
  <c:chart>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lumMod val="50000"/>
            </a:schemeClr>
          </a:solidFill>
          <a:ln>
            <a:noFill/>
          </a:ln>
          <a:effectLst/>
        </c:spPr>
        <c:dLbl>
          <c:idx val="0"/>
          <c:layout>
            <c:manualLayout>
              <c:x val="-2.9399098150306831E-2"/>
              <c:y val="1.6724307794309637E-3"/>
            </c:manualLayout>
          </c:layout>
          <c:tx>
            <c:rich>
              <a:bodyPr rot="0" spcFirstLastPara="1" vertOverflow="ellipsis" vert="horz" wrap="none" lIns="0" tIns="0" rIns="0" bIns="0" anchor="ctr" anchorCtr="1">
                <a:noAutofit/>
              </a:bodyPr>
              <a:lstStyle/>
              <a:p>
                <a:pPr>
                  <a:defRPr sz="700" b="0" i="0" u="none" strike="noStrike" kern="1200" baseline="0">
                    <a:solidFill>
                      <a:schemeClr val="tx1">
                        <a:lumMod val="75000"/>
                        <a:lumOff val="25000"/>
                      </a:schemeClr>
                    </a:solidFill>
                    <a:latin typeface="+mn-lt"/>
                    <a:ea typeface="+mn-ea"/>
                    <a:cs typeface="+mn-cs"/>
                  </a:defRPr>
                </a:pPr>
                <a:fld id="{E16CBE7B-E5D7-436F-A6E7-5B775C743469}" type="CELLRANGE">
                  <a:rPr lang="en-US" sz="700"/>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9178802464025109"/>
                  <c:h val="0.14325788516672941"/>
                </c:manualLayout>
              </c15:layout>
              <c15:dlblFieldTable/>
              <c15:showDataLabelsRange val="1"/>
            </c:ext>
          </c:extLst>
        </c:dLbl>
      </c:pivotFmt>
      <c:pivotFmt>
        <c:idx val="3"/>
        <c:spPr>
          <a:solidFill>
            <a:schemeClr val="accent5">
              <a:lumMod val="50000"/>
            </a:schemeClr>
          </a:solidFill>
          <a:ln>
            <a:noFill/>
          </a:ln>
          <a:effectLst/>
        </c:spPr>
        <c:dLbl>
          <c:idx val="0"/>
          <c:layout>
            <c:manualLayout>
              <c:x val="-2.4454179086424565E-2"/>
              <c:y val="-2.3779991544726348E-2"/>
            </c:manualLayout>
          </c:layout>
          <c:tx>
            <c:rich>
              <a:bodyPr rot="0" spcFirstLastPara="1" vertOverflow="ellipsis" vert="horz" wrap="none" lIns="0" tIns="0" rIns="0" bIns="0" anchor="ctr" anchorCtr="1">
                <a:noAutofit/>
              </a:bodyPr>
              <a:lstStyle/>
              <a:p>
                <a:pPr>
                  <a:defRPr sz="700" b="0" i="0" u="none" strike="noStrike" kern="1200" baseline="0">
                    <a:solidFill>
                      <a:schemeClr val="tx1">
                        <a:lumMod val="75000"/>
                        <a:lumOff val="25000"/>
                      </a:schemeClr>
                    </a:solidFill>
                    <a:latin typeface="+mn-lt"/>
                    <a:ea typeface="+mn-ea"/>
                    <a:cs typeface="+mn-cs"/>
                  </a:defRPr>
                </a:pPr>
                <a:fld id="{FE555533-84C8-40D5-9DA0-C6D0984EA8BC}" type="CELLRANGE">
                  <a:rPr lang="en-US" sz="700"/>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8972053959009584"/>
                  <c:h val="0.21623682481515413"/>
                </c:manualLayout>
              </c15:layout>
              <c15:dlblFieldTable/>
              <c15:showDataLabelsRange val="1"/>
            </c:ext>
          </c:extLst>
        </c:dLbl>
      </c:pivotFmt>
    </c:pivotFmts>
    <c:plotArea>
      <c:layout>
        <c:manualLayout>
          <c:layoutTarget val="inner"/>
          <c:xMode val="edge"/>
          <c:yMode val="edge"/>
          <c:x val="7.2900672496666027E-2"/>
          <c:y val="0.14892412046726142"/>
          <c:w val="0.83806767185490894"/>
          <c:h val="0.63117072488014125"/>
        </c:manualLayout>
      </c:layout>
      <c:barChart>
        <c:barDir val="bar"/>
        <c:grouping val="clustered"/>
        <c:varyColors val="0"/>
        <c:ser>
          <c:idx val="0"/>
          <c:order val="0"/>
          <c:tx>
            <c:strRef>
              <c:f>'Pivot Report'!$B$41</c:f>
              <c:strCache>
                <c:ptCount val="1"/>
                <c:pt idx="0">
                  <c:v>Count of Patient Admission Flag2</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8-7C69-4ED3-8A10-DAFA63BA00E5}"/>
              </c:ext>
            </c:extLst>
          </c:dPt>
          <c:dPt>
            <c:idx val="1"/>
            <c:invertIfNegative val="0"/>
            <c:bubble3D val="0"/>
            <c:extLst>
              <c:ext xmlns:c16="http://schemas.microsoft.com/office/drawing/2014/chart" uri="{C3380CC4-5D6E-409C-BE32-E72D297353CC}">
                <c16:uniqueId val="{00000007-7C69-4ED3-8A10-DAFA63BA00E5}"/>
              </c:ext>
            </c:extLst>
          </c:dPt>
          <c:dLbls>
            <c:dLbl>
              <c:idx val="0"/>
              <c:layout>
                <c:manualLayout>
                  <c:x val="-2.9399098150306831E-2"/>
                  <c:y val="1.6724307794309637E-3"/>
                </c:manualLayout>
              </c:layout>
              <c:tx>
                <c:rich>
                  <a:bodyPr rot="0" spcFirstLastPara="1" vertOverflow="ellipsis" vert="horz" wrap="none" lIns="0" tIns="0" rIns="0" bIns="0" anchor="ctr" anchorCtr="1">
                    <a:noAutofit/>
                  </a:bodyPr>
                  <a:lstStyle/>
                  <a:p>
                    <a:pPr>
                      <a:defRPr sz="700" b="0" i="0" u="none" strike="noStrike" kern="1200" baseline="0">
                        <a:solidFill>
                          <a:schemeClr val="tx1">
                            <a:lumMod val="75000"/>
                            <a:lumOff val="25000"/>
                          </a:schemeClr>
                        </a:solidFill>
                        <a:latin typeface="+mn-lt"/>
                        <a:ea typeface="+mn-ea"/>
                        <a:cs typeface="+mn-cs"/>
                      </a:defRPr>
                    </a:pPr>
                    <a:fld id="{E16CBE7B-E5D7-436F-A6E7-5B775C743469}" type="CELLRANGE">
                      <a:rPr lang="en-US" sz="700"/>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9178802464025109"/>
                      <c:h val="0.14325788516672941"/>
                    </c:manualLayout>
                  </c15:layout>
                  <c15:dlblFieldTable/>
                  <c15:showDataLabelsRange val="1"/>
                </c:ext>
                <c:ext xmlns:c16="http://schemas.microsoft.com/office/drawing/2014/chart" uri="{C3380CC4-5D6E-409C-BE32-E72D297353CC}">
                  <c16:uniqueId val="{00000008-7C69-4ED3-8A10-DAFA63BA00E5}"/>
                </c:ext>
              </c:extLst>
            </c:dLbl>
            <c:dLbl>
              <c:idx val="1"/>
              <c:layout>
                <c:manualLayout>
                  <c:x val="-2.4454179086424565E-2"/>
                  <c:y val="-2.3779991544726348E-2"/>
                </c:manualLayout>
              </c:layout>
              <c:tx>
                <c:rich>
                  <a:bodyPr rot="0" spcFirstLastPara="1" vertOverflow="ellipsis" vert="horz" wrap="none" lIns="0" tIns="0" rIns="0" bIns="0" anchor="ctr" anchorCtr="1">
                    <a:noAutofit/>
                  </a:bodyPr>
                  <a:lstStyle/>
                  <a:p>
                    <a:pPr>
                      <a:defRPr sz="700" b="0" i="0" u="none" strike="noStrike" kern="1200" baseline="0">
                        <a:solidFill>
                          <a:schemeClr val="tx1">
                            <a:lumMod val="75000"/>
                            <a:lumOff val="25000"/>
                          </a:schemeClr>
                        </a:solidFill>
                        <a:latin typeface="+mn-lt"/>
                        <a:ea typeface="+mn-ea"/>
                        <a:cs typeface="+mn-cs"/>
                      </a:defRPr>
                    </a:pPr>
                    <a:fld id="{FE555533-84C8-40D5-9DA0-C6D0984EA8BC}" type="CELLRANGE">
                      <a:rPr lang="en-US" sz="700"/>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8972053959009584"/>
                      <c:h val="0.21623682481515413"/>
                    </c:manualLayout>
                  </c15:layout>
                  <c15:dlblFieldTable/>
                  <c15:showDataLabelsRange val="1"/>
                </c:ext>
                <c:ext xmlns:c16="http://schemas.microsoft.com/office/drawing/2014/chart" uri="{C3380CC4-5D6E-409C-BE32-E72D297353CC}">
                  <c16:uniqueId val="{00000007-7C69-4ED3-8A10-DAFA63BA00E5}"/>
                </c:ext>
              </c:extLst>
            </c:dLbl>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Report'!$A$42:$A$44</c:f>
              <c:strCache>
                <c:ptCount val="2"/>
                <c:pt idx="0">
                  <c:v>Admitted</c:v>
                </c:pt>
                <c:pt idx="1">
                  <c:v>Not admitted</c:v>
                </c:pt>
              </c:strCache>
            </c:strRef>
          </c:cat>
          <c:val>
            <c:numRef>
              <c:f>'Pivot Report'!$B$42:$B$44</c:f>
              <c:numCache>
                <c:formatCode>General</c:formatCode>
                <c:ptCount val="2"/>
                <c:pt idx="0">
                  <c:v>231</c:v>
                </c:pt>
                <c:pt idx="1">
                  <c:v>233</c:v>
                </c:pt>
              </c:numCache>
            </c:numRef>
          </c:val>
          <c:extLst>
            <c:ext xmlns:c16="http://schemas.microsoft.com/office/drawing/2014/chart" uri="{C3380CC4-5D6E-409C-BE32-E72D297353CC}">
              <c16:uniqueId val="{00000004-7C69-4ED3-8A10-DAFA63BA00E5}"/>
            </c:ext>
          </c:extLst>
        </c:ser>
        <c:ser>
          <c:idx val="1"/>
          <c:order val="1"/>
          <c:tx>
            <c:strRef>
              <c:f>'Pivot Report'!$C$41</c:f>
              <c:strCache>
                <c:ptCount val="1"/>
                <c:pt idx="0">
                  <c:v>Count of Patient Admission Flag</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0.49784482758620691</c:v>
                </c:pt>
                <c:pt idx="1">
                  <c:v>0.50215517241379315</c:v>
                </c:pt>
              </c:numCache>
            </c:numRef>
          </c:val>
          <c:extLst>
            <c:ext xmlns:c16="http://schemas.microsoft.com/office/drawing/2014/chart" uri="{C3380CC4-5D6E-409C-BE32-E72D297353CC}">
              <c16:uniqueId val="{00000005-7C69-4ED3-8A10-DAFA63BA00E5}"/>
            </c:ext>
          </c:extLst>
        </c:ser>
        <c:dLbls>
          <c:showLegendKey val="0"/>
          <c:showVal val="0"/>
          <c:showCatName val="0"/>
          <c:showSerName val="0"/>
          <c:showPercent val="0"/>
          <c:showBubbleSize val="0"/>
        </c:dLbls>
        <c:gapWidth val="0"/>
        <c:overlap val="8"/>
        <c:axId val="1635252639"/>
        <c:axId val="1635253119"/>
      </c:barChart>
      <c:catAx>
        <c:axId val="1635252639"/>
        <c:scaling>
          <c:orientation val="minMax"/>
        </c:scaling>
        <c:delete val="1"/>
        <c:axPos val="l"/>
        <c:numFmt formatCode="General" sourceLinked="1"/>
        <c:majorTickMark val="none"/>
        <c:minorTickMark val="none"/>
        <c:tickLblPos val="nextTo"/>
        <c:crossAx val="1635253119"/>
        <c:crosses val="autoZero"/>
        <c:auto val="1"/>
        <c:lblAlgn val="ctr"/>
        <c:lblOffset val="100"/>
        <c:noMultiLvlLbl val="0"/>
      </c:catAx>
      <c:valAx>
        <c:axId val="1635253119"/>
        <c:scaling>
          <c:orientation val="minMax"/>
        </c:scaling>
        <c:delete val="1"/>
        <c:axPos val="b"/>
        <c:numFmt formatCode="General" sourceLinked="1"/>
        <c:majorTickMark val="none"/>
        <c:minorTickMark val="none"/>
        <c:tickLblPos val="nextTo"/>
        <c:crossAx val="163525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[Room Data(AutoRecovered) (Recovered).xlsx]Pivot Report!PivotTable5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2863543221823E-2"/>
          <c:y val="0.19365020012745437"/>
          <c:w val="0.80379571721302845"/>
          <c:h val="0.53610435978312654"/>
        </c:manualLayout>
      </c:layout>
      <c:areaChart>
        <c:grouping val="standard"/>
        <c:varyColors val="0"/>
        <c:ser>
          <c:idx val="0"/>
          <c:order val="0"/>
          <c:tx>
            <c:strRef>
              <c:f>'Pivot Report'!$E$4</c:f>
              <c:strCache>
                <c:ptCount val="1"/>
                <c:pt idx="0">
                  <c:v>Total</c:v>
                </c:pt>
              </c:strCache>
            </c:strRef>
          </c:tx>
          <c:spPr>
            <a:solidFill>
              <a:schemeClr val="accent5">
                <a:lumMod val="50000"/>
              </a:schemeClr>
            </a:solidFill>
            <a:ln w="25400">
              <a:noFill/>
            </a:ln>
            <a:effectLst/>
          </c:spPr>
          <c:cat>
            <c:strRef>
              <c:f>'Pivot Report'!$D$5:$D$35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Report'!$E$5:$E$35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2-39B7-4170-ACEE-F14BACC91483}"/>
            </c:ext>
          </c:extLst>
        </c:ser>
        <c:dLbls>
          <c:showLegendKey val="0"/>
          <c:showVal val="0"/>
          <c:showCatName val="0"/>
          <c:showSerName val="0"/>
          <c:showPercent val="0"/>
          <c:showBubbleSize val="0"/>
        </c:dLbls>
        <c:axId val="1650144639"/>
        <c:axId val="1650146559"/>
      </c:areaChart>
      <c:catAx>
        <c:axId val="1650144639"/>
        <c:scaling>
          <c:orientation val="minMax"/>
        </c:scaling>
        <c:delete val="1"/>
        <c:axPos val="b"/>
        <c:numFmt formatCode="General" sourceLinked="1"/>
        <c:majorTickMark val="out"/>
        <c:minorTickMark val="none"/>
        <c:tickLblPos val="nextTo"/>
        <c:crossAx val="1650146559"/>
        <c:crosses val="autoZero"/>
        <c:auto val="1"/>
        <c:lblAlgn val="ctr"/>
        <c:lblOffset val="100"/>
        <c:noMultiLvlLbl val="0"/>
      </c:catAx>
      <c:valAx>
        <c:axId val="1650146559"/>
        <c:scaling>
          <c:orientation val="minMax"/>
        </c:scaling>
        <c:delete val="1"/>
        <c:axPos val="l"/>
        <c:numFmt formatCode="General" sourceLinked="1"/>
        <c:majorTickMark val="none"/>
        <c:minorTickMark val="none"/>
        <c:tickLblPos val="nextTo"/>
        <c:crossAx val="16501446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[Room Data(AutoRecovered) (Recovered).xlsx]Pivot Report!PivotTable2</c:name>
    <c:fmtId val="2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50000"/>
            </a:schemeClr>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8210953099626101E-2"/>
          <c:y val="0.23674274519905369"/>
          <c:w val="0.98178904690037394"/>
          <c:h val="0.74173518705557773"/>
        </c:manualLayout>
      </c:layout>
      <c:areaChart>
        <c:grouping val="standard"/>
        <c:varyColors val="0"/>
        <c:ser>
          <c:idx val="0"/>
          <c:order val="0"/>
          <c:tx>
            <c:strRef>
              <c:f>'Pivot Report'!$J$4</c:f>
              <c:strCache>
                <c:ptCount val="1"/>
                <c:pt idx="0">
                  <c:v>Total</c:v>
                </c:pt>
              </c:strCache>
            </c:strRef>
          </c:tx>
          <c:spPr>
            <a:solidFill>
              <a:schemeClr val="accent5">
                <a:lumMod val="50000"/>
              </a:schemeClr>
            </a:solidFill>
            <a:ln w="25400">
              <a:noFill/>
            </a:ln>
            <a:effectLst/>
          </c:spPr>
          <c:cat>
            <c:strRef>
              <c:f>'Pivot Report'!$I$5:$I$35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Report'!$J$5:$J$35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2-B65C-4409-B8CF-FEFE75686066}"/>
            </c:ext>
          </c:extLst>
        </c:ser>
        <c:dLbls>
          <c:showLegendKey val="0"/>
          <c:showVal val="0"/>
          <c:showCatName val="0"/>
          <c:showSerName val="0"/>
          <c:showPercent val="0"/>
          <c:showBubbleSize val="0"/>
        </c:dLbls>
        <c:axId val="227308079"/>
        <c:axId val="227314799"/>
      </c:areaChart>
      <c:catAx>
        <c:axId val="227308079"/>
        <c:scaling>
          <c:orientation val="minMax"/>
        </c:scaling>
        <c:delete val="1"/>
        <c:axPos val="b"/>
        <c:numFmt formatCode="General" sourceLinked="1"/>
        <c:majorTickMark val="out"/>
        <c:minorTickMark val="none"/>
        <c:tickLblPos val="nextTo"/>
        <c:crossAx val="227314799"/>
        <c:crosses val="autoZero"/>
        <c:auto val="1"/>
        <c:lblAlgn val="ctr"/>
        <c:lblOffset val="100"/>
        <c:noMultiLvlLbl val="0"/>
      </c:catAx>
      <c:valAx>
        <c:axId val="227314799"/>
        <c:scaling>
          <c:orientation val="minMax"/>
        </c:scaling>
        <c:delete val="1"/>
        <c:axPos val="l"/>
        <c:numFmt formatCode="0.00" sourceLinked="1"/>
        <c:majorTickMark val="none"/>
        <c:minorTickMark val="none"/>
        <c:tickLblPos val="nextTo"/>
        <c:crossAx val="227308079"/>
        <c:crosses val="autoZero"/>
        <c:crossBetween val="midCat"/>
      </c:valAx>
      <c:spPr>
        <a:noFill/>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[Room Data(AutoRecovered) (Recovered).xlsx]Pivot Report!PivotTable6</c:name>
    <c:fmtId val="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solidFill>
              <a:schemeClr val="accent5">
                <a:lumMod val="50000"/>
              </a:schemeClr>
            </a:solidFill>
            <a:ln w="25400">
              <a:noFill/>
            </a:ln>
            <a:effectLst/>
          </c:spPr>
          <c:cat>
            <c:strRef>
              <c:f>'Pivot Report'!$L$5:$L$35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Report'!$M$5:$M$35</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2-3D4C-41B9-8B2B-7A9F10416FEB}"/>
            </c:ext>
          </c:extLst>
        </c:ser>
        <c:dLbls>
          <c:showLegendKey val="0"/>
          <c:showVal val="0"/>
          <c:showCatName val="0"/>
          <c:showSerName val="0"/>
          <c:showPercent val="0"/>
          <c:showBubbleSize val="0"/>
        </c:dLbls>
        <c:axId val="1323729104"/>
        <c:axId val="790212463"/>
      </c:areaChart>
      <c:catAx>
        <c:axId val="1323729104"/>
        <c:scaling>
          <c:orientation val="minMax"/>
        </c:scaling>
        <c:delete val="1"/>
        <c:axPos val="b"/>
        <c:numFmt formatCode="General" sourceLinked="1"/>
        <c:majorTickMark val="out"/>
        <c:minorTickMark val="none"/>
        <c:tickLblPos val="nextTo"/>
        <c:crossAx val="790212463"/>
        <c:crosses val="autoZero"/>
        <c:auto val="1"/>
        <c:lblAlgn val="ctr"/>
        <c:lblOffset val="100"/>
        <c:noMultiLvlLbl val="0"/>
      </c:catAx>
      <c:valAx>
        <c:axId val="790212463"/>
        <c:scaling>
          <c:orientation val="minMax"/>
        </c:scaling>
        <c:delete val="1"/>
        <c:axPos val="l"/>
        <c:numFmt formatCode="0.00" sourceLinked="1"/>
        <c:majorTickMark val="none"/>
        <c:minorTickMark val="none"/>
        <c:tickLblPos val="nextTo"/>
        <c:crossAx val="13237291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[Room Data(AutoRecovered) (Recovered).xlsx]Pivot Report!PivotTable11</c:name>
    <c:fmtId val="1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06606213674955E-2"/>
          <c:y val="0.14712782163937466"/>
          <c:w val="0.90338678757265012"/>
          <c:h val="0.49684833670259909"/>
        </c:manualLayout>
      </c:layout>
      <c:barChart>
        <c:barDir val="col"/>
        <c:grouping val="clustered"/>
        <c:varyColors val="0"/>
        <c:ser>
          <c:idx val="0"/>
          <c:order val="0"/>
          <c:tx>
            <c:strRef>
              <c:f>'Pivot Report'!$B$57</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Report'!$A$58:$A$66</c:f>
              <c:strCache>
                <c:ptCount val="8"/>
                <c:pt idx="0">
                  <c:v>0-9</c:v>
                </c:pt>
                <c:pt idx="1">
                  <c:v>10-19</c:v>
                </c:pt>
                <c:pt idx="2">
                  <c:v>20-29</c:v>
                </c:pt>
                <c:pt idx="3">
                  <c:v>30-39</c:v>
                </c:pt>
                <c:pt idx="4">
                  <c:v>40-49</c:v>
                </c:pt>
                <c:pt idx="5">
                  <c:v>50-59</c:v>
                </c:pt>
                <c:pt idx="6">
                  <c:v>60-69</c:v>
                </c:pt>
                <c:pt idx="7">
                  <c:v>70-79</c:v>
                </c:pt>
              </c:strCache>
            </c:strRef>
          </c:cat>
          <c:val>
            <c:numRef>
              <c:f>'Pivot Report'!$B$58:$B$66</c:f>
              <c:numCache>
                <c:formatCode>General</c:formatCode>
                <c:ptCount val="8"/>
                <c:pt idx="0">
                  <c:v>63</c:v>
                </c:pt>
                <c:pt idx="1">
                  <c:v>65</c:v>
                </c:pt>
                <c:pt idx="2">
                  <c:v>49</c:v>
                </c:pt>
                <c:pt idx="3">
                  <c:v>61</c:v>
                </c:pt>
                <c:pt idx="4">
                  <c:v>56</c:v>
                </c:pt>
                <c:pt idx="5">
                  <c:v>61</c:v>
                </c:pt>
                <c:pt idx="6">
                  <c:v>62</c:v>
                </c:pt>
                <c:pt idx="7">
                  <c:v>47</c:v>
                </c:pt>
              </c:numCache>
            </c:numRef>
          </c:val>
          <c:extLst>
            <c:ext xmlns:c16="http://schemas.microsoft.com/office/drawing/2014/chart" uri="{C3380CC4-5D6E-409C-BE32-E72D297353CC}">
              <c16:uniqueId val="{00000002-EC97-45E0-9111-A41ED4A61EFE}"/>
            </c:ext>
          </c:extLst>
        </c:ser>
        <c:dLbls>
          <c:showLegendKey val="0"/>
          <c:showVal val="0"/>
          <c:showCatName val="0"/>
          <c:showSerName val="0"/>
          <c:showPercent val="0"/>
          <c:showBubbleSize val="0"/>
        </c:dLbls>
        <c:gapWidth val="219"/>
        <c:overlap val="-27"/>
        <c:axId val="2070850576"/>
        <c:axId val="2070851056"/>
      </c:barChart>
      <c:catAx>
        <c:axId val="207085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70851056"/>
        <c:crosses val="autoZero"/>
        <c:auto val="1"/>
        <c:lblAlgn val="ctr"/>
        <c:lblOffset val="100"/>
        <c:noMultiLvlLbl val="0"/>
      </c:catAx>
      <c:valAx>
        <c:axId val="2070851056"/>
        <c:scaling>
          <c:orientation val="minMax"/>
        </c:scaling>
        <c:delete val="1"/>
        <c:axPos val="l"/>
        <c:numFmt formatCode="General" sourceLinked="1"/>
        <c:majorTickMark val="none"/>
        <c:minorTickMark val="none"/>
        <c:tickLblPos val="nextTo"/>
        <c:crossAx val="207085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23126713805328"/>
          <c:y val="0.12712017116712199"/>
          <c:w val="0.57176093229450509"/>
          <c:h val="0.75946089813029327"/>
        </c:manualLayout>
      </c:layout>
      <c:pieChart>
        <c:varyColors val="1"/>
        <c:dLbls>
          <c:dLblPos val="in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11953385274742924"/>
          <c:y val="1.301876748901726E-2"/>
          <c:w val="0.7468476117633025"/>
          <c:h val="0.11730457350099316"/>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[Room Data(AutoRecovered) (Recovered).xlsx]Pivot Report!PivotTable8</c:name>
    <c:fmtId val="32"/>
  </c:pivotSource>
  <c:chart>
    <c:autoTitleDeleted val="1"/>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
              <c:y val="2.712675349363743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4.1959815786915522E-4"/>
              <c:y val="2.8055898199915628E-3"/>
            </c:manualLayout>
          </c:layout>
          <c:spPr>
            <a:noFill/>
            <a:ln>
              <a:noFill/>
            </a:ln>
            <a:effectLst>
              <a:softEdge rad="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701687299451632"/>
                  <c:h val="0.34378041910903379"/>
                </c:manualLayout>
              </c15:layout>
            </c:ext>
          </c:extLst>
        </c:dLbl>
      </c:pivotFmt>
    </c:pivotFmts>
    <c:plotArea>
      <c:layout>
        <c:manualLayout>
          <c:layoutTarget val="inner"/>
          <c:xMode val="edge"/>
          <c:yMode val="edge"/>
          <c:x val="0.2787932699008524"/>
          <c:y val="0.13283092268848784"/>
          <c:w val="0.51099292824404308"/>
          <c:h val="0.67097692200817338"/>
        </c:manualLayout>
      </c:layout>
      <c:doughnutChart>
        <c:varyColors val="1"/>
        <c:ser>
          <c:idx val="0"/>
          <c:order val="0"/>
          <c:tx>
            <c:strRef>
              <c:f>'Pivot Report'!$B$78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layout>
                <c:manualLayout>
                  <c:x val="0"/>
                  <c:y val="2.712675349363743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dLbl>
              <c:idx val="1"/>
              <c:layout>
                <c:manualLayout>
                  <c:x val="-4.1959815786915522E-4"/>
                  <c:y val="2.8055898199915628E-3"/>
                </c:manualLayout>
              </c:layout>
              <c:spPr>
                <a:noFill/>
                <a:ln>
                  <a:noFill/>
                </a:ln>
                <a:effectLst>
                  <a:softEdge rad="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701687299451632"/>
                      <c:h val="0.34378041910903379"/>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General</c:formatCode>
                <c:ptCount val="2"/>
                <c:pt idx="0">
                  <c:v>227</c:v>
                </c:pt>
                <c:pt idx="1">
                  <c:v>237</c:v>
                </c:pt>
              </c:numCache>
            </c:numRef>
          </c:val>
          <c:extLst>
            <c:ext xmlns:c16="http://schemas.microsoft.com/office/drawing/2014/chart" uri="{C3380CC4-5D6E-409C-BE32-E72D297353CC}">
              <c16:uniqueId val="{00000006-F1B9-4609-B9CA-881D631EB4C7}"/>
            </c:ext>
          </c:extLst>
        </c:ser>
        <c:dLbls>
          <c:showLegendKey val="0"/>
          <c:showVal val="0"/>
          <c:showCatName val="0"/>
          <c:showSerName val="0"/>
          <c:showPercent val="1"/>
          <c:showBubbleSize val="0"/>
          <c:showLeaderLines val="1"/>
        </c:dLbls>
        <c:firstSliceAng val="0"/>
        <c:holeSize val="43"/>
      </c:doughnutChart>
      <c:spPr>
        <a:noFill/>
        <a:ln>
          <a:noFill/>
        </a:ln>
        <a:effectLst/>
      </c:spPr>
    </c:plotArea>
    <c:legend>
      <c:legendPos val="r"/>
      <c:layout>
        <c:manualLayout>
          <c:xMode val="edge"/>
          <c:yMode val="edge"/>
          <c:x val="0.21959513449179463"/>
          <c:y val="6.0231786017142007E-3"/>
          <c:w val="0.58779711627642239"/>
          <c:h val="0.12070311938560895"/>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[Room Data(AutoRecovered) (Recovered).xlsx]Pivot Report!PivotTable14</c:name>
    <c:fmtId val="3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06324365258845"/>
          <c:y val="9.7262706318045566E-2"/>
          <c:w val="0.63406205298935403"/>
          <c:h val="0.76368349868568497"/>
        </c:manualLayout>
      </c:layout>
      <c:barChart>
        <c:barDir val="bar"/>
        <c:grouping val="clustered"/>
        <c:varyColors val="0"/>
        <c:ser>
          <c:idx val="0"/>
          <c:order val="0"/>
          <c:tx>
            <c:strRef>
              <c:f>'Pivot Report'!$B$85</c:f>
              <c:strCache>
                <c:ptCount val="1"/>
                <c:pt idx="0">
                  <c:v>Total</c:v>
                </c:pt>
              </c:strCache>
            </c:strRef>
          </c:tx>
          <c:spPr>
            <a:solidFill>
              <a:srgbClr val="0066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Report'!$A$86:$A$94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Report'!$B$86:$B$94</c:f>
              <c:numCache>
                <c:formatCode>General</c:formatCode>
                <c:ptCount val="8"/>
                <c:pt idx="0">
                  <c:v>2</c:v>
                </c:pt>
                <c:pt idx="1">
                  <c:v>6</c:v>
                </c:pt>
                <c:pt idx="2">
                  <c:v>13</c:v>
                </c:pt>
                <c:pt idx="3">
                  <c:v>14</c:v>
                </c:pt>
                <c:pt idx="4">
                  <c:v>19</c:v>
                </c:pt>
                <c:pt idx="5">
                  <c:v>67</c:v>
                </c:pt>
                <c:pt idx="6">
                  <c:v>91</c:v>
                </c:pt>
                <c:pt idx="7">
                  <c:v>252</c:v>
                </c:pt>
              </c:numCache>
            </c:numRef>
          </c:val>
          <c:extLst>
            <c:ext xmlns:c16="http://schemas.microsoft.com/office/drawing/2014/chart" uri="{C3380CC4-5D6E-409C-BE32-E72D297353CC}">
              <c16:uniqueId val="{00000002-075E-4FA7-ADCF-7497CFB330CC}"/>
            </c:ext>
          </c:extLst>
        </c:ser>
        <c:dLbls>
          <c:showLegendKey val="0"/>
          <c:showVal val="0"/>
          <c:showCatName val="0"/>
          <c:showSerName val="0"/>
          <c:showPercent val="0"/>
          <c:showBubbleSize val="0"/>
        </c:dLbls>
        <c:gapWidth val="34"/>
        <c:axId val="415767984"/>
        <c:axId val="415753584"/>
      </c:barChart>
      <c:catAx>
        <c:axId val="41576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15753584"/>
        <c:crosses val="autoZero"/>
        <c:auto val="1"/>
        <c:lblAlgn val="ctr"/>
        <c:lblOffset val="100"/>
        <c:noMultiLvlLbl val="0"/>
      </c:catAx>
      <c:valAx>
        <c:axId val="415753584"/>
        <c:scaling>
          <c:orientation val="minMax"/>
        </c:scaling>
        <c:delete val="1"/>
        <c:axPos val="b"/>
        <c:numFmt formatCode="General" sourceLinked="1"/>
        <c:majorTickMark val="none"/>
        <c:minorTickMark val="none"/>
        <c:tickLblPos val="nextTo"/>
        <c:crossAx val="4157679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s>
    <c:plotArea>
      <c:layout>
        <c:manualLayout>
          <c:layoutTarget val="inner"/>
          <c:xMode val="edge"/>
          <c:yMode val="edge"/>
          <c:x val="0.28957377410417734"/>
          <c:y val="0.16271517814181913"/>
          <c:w val="0.53916539082757775"/>
          <c:h val="0.71532837823845763"/>
        </c:manualLayout>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3A6-4737-B3FD-B57B632D2C1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3A6-4737-B3FD-B57B632D2C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
              <c:pt idx="0">
                <c:v>Delay</c:v>
              </c:pt>
              <c:pt idx="1">
                <c:v>Ontime</c:v>
              </c:pt>
            </c:strLit>
          </c:cat>
          <c:val>
            <c:numLit>
              <c:formatCode>General</c:formatCode>
              <c:ptCount val="2"/>
              <c:pt idx="0">
                <c:v>286</c:v>
              </c:pt>
              <c:pt idx="1">
                <c:v>203</c:v>
              </c:pt>
            </c:numLit>
          </c:val>
          <c:extLst>
            <c:ext xmlns:c16="http://schemas.microsoft.com/office/drawing/2014/chart" uri="{C3380CC4-5D6E-409C-BE32-E72D297353CC}">
              <c16:uniqueId val="{00000004-73A6-4737-B3FD-B57B632D2C1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18571167337295127"/>
          <c:y val="4.833958303302968E-3"/>
          <c:w val="0.69358838144768886"/>
          <c:h val="0.148986817769314"/>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[Room Data(AutoRecovered) (Recovered).xlsx]Pivot Report!PivotTable6</c:name>
    <c:fmtId val="6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Report'!$M$5:$M$35</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1-E71E-43FA-B14A-50C807B73257}"/>
            </c:ext>
          </c:extLst>
        </c:ser>
        <c:dLbls>
          <c:showLegendKey val="0"/>
          <c:showVal val="0"/>
          <c:showCatName val="0"/>
          <c:showSerName val="0"/>
          <c:showPercent val="0"/>
          <c:showBubbleSize val="0"/>
        </c:dLbls>
        <c:axId val="1323729104"/>
        <c:axId val="790212463"/>
      </c:areaChart>
      <c:catAx>
        <c:axId val="1323729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12463"/>
        <c:crosses val="autoZero"/>
        <c:auto val="1"/>
        <c:lblAlgn val="ctr"/>
        <c:lblOffset val="100"/>
        <c:noMultiLvlLbl val="0"/>
      </c:catAx>
      <c:valAx>
        <c:axId val="7902124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729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[Room Data(AutoRecovered) (Recovered).xlsx]Pivot Report!PivotTable5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4704096712744E-2"/>
          <c:y val="0"/>
          <c:w val="0.92917548104906722"/>
          <c:h val="0.81727588573045218"/>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Report'!$E$5:$E$35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1-505F-4906-9AF5-939C485F780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50144639"/>
        <c:axId val="1650146559"/>
      </c:areaChart>
      <c:catAx>
        <c:axId val="16501446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650146559"/>
        <c:crosses val="autoZero"/>
        <c:auto val="1"/>
        <c:lblAlgn val="ctr"/>
        <c:lblOffset val="100"/>
        <c:noMultiLvlLbl val="0"/>
      </c:catAx>
      <c:valAx>
        <c:axId val="1650146559"/>
        <c:scaling>
          <c:orientation val="minMax"/>
        </c:scaling>
        <c:delete val="1"/>
        <c:axPos val="l"/>
        <c:numFmt formatCode="General" sourceLinked="1"/>
        <c:majorTickMark val="out"/>
        <c:minorTickMark val="none"/>
        <c:tickLblPos val="nextTo"/>
        <c:crossAx val="16501446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[Room Data(AutoRecovered) (Recovered).xlsx]Pivot Report!PivotTable2</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10953099626101E-2"/>
          <c:y val="0.23674274519905369"/>
          <c:w val="0.98178904690037394"/>
          <c:h val="0.74173518705557773"/>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Report'!$J$5:$J$35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1-9D51-47B0-84CC-61494D8CD7E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7308079"/>
        <c:axId val="227314799"/>
      </c:areaChart>
      <c:catAx>
        <c:axId val="2273080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7314799"/>
        <c:crosses val="autoZero"/>
        <c:auto val="1"/>
        <c:lblAlgn val="ctr"/>
        <c:lblOffset val="100"/>
        <c:noMultiLvlLbl val="0"/>
      </c:catAx>
      <c:valAx>
        <c:axId val="227314799"/>
        <c:scaling>
          <c:orientation val="minMax"/>
        </c:scaling>
        <c:delete val="1"/>
        <c:axPos val="l"/>
        <c:numFmt formatCode="0.00" sourceLinked="1"/>
        <c:majorTickMark val="out"/>
        <c:minorTickMark val="none"/>
        <c:tickLblPos val="nextTo"/>
        <c:crossAx val="227308079"/>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 time daily trends'!A1"/><Relationship Id="rId19" Type="http://schemas.openxmlformats.org/officeDocument/2006/relationships/image" Target="../media/image9.emf"/><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xdr:col>
      <xdr:colOff>1075334</xdr:colOff>
      <xdr:row>49</xdr:row>
      <xdr:rowOff>73151</xdr:rowOff>
    </xdr:from>
    <xdr:to>
      <xdr:col>4</xdr:col>
      <xdr:colOff>73153</xdr:colOff>
      <xdr:row>52</xdr:row>
      <xdr:rowOff>58520</xdr:rowOff>
    </xdr:to>
    <xdr:graphicFrame macro="">
      <xdr:nvGraphicFramePr>
        <xdr:cNvPr id="5" name="Chart 4">
          <a:extLst>
            <a:ext uri="{FF2B5EF4-FFF2-40B4-BE49-F238E27FC236}">
              <a16:creationId xmlns:a16="http://schemas.microsoft.com/office/drawing/2014/main" id="{1C80E23B-4D31-2AD5-60F9-89EA8DD89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39015</xdr:colOff>
      <xdr:row>0</xdr:row>
      <xdr:rowOff>48769</xdr:rowOff>
    </xdr:from>
    <xdr:to>
      <xdr:col>5</xdr:col>
      <xdr:colOff>199949</xdr:colOff>
      <xdr:row>2</xdr:row>
      <xdr:rowOff>165812</xdr:rowOff>
    </xdr:to>
    <xdr:sp macro="" textlink="">
      <xdr:nvSpPr>
        <xdr:cNvPr id="2" name="Rectangle: Rounded Corners 1">
          <a:extLst>
            <a:ext uri="{FF2B5EF4-FFF2-40B4-BE49-F238E27FC236}">
              <a16:creationId xmlns:a16="http://schemas.microsoft.com/office/drawing/2014/main" id="{34915D5B-47A1-BD40-A5E7-887E9FBDC692}"/>
            </a:ext>
          </a:extLst>
        </xdr:cNvPr>
        <xdr:cNvSpPr/>
      </xdr:nvSpPr>
      <xdr:spPr>
        <a:xfrm>
          <a:off x="39015" y="48769"/>
          <a:ext cx="3364991" cy="487680"/>
        </a:xfrm>
        <a:prstGeom prst="roundRect">
          <a:avLst>
            <a:gd name="adj" fmla="val 86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a:t>
          </a:r>
        </a:p>
      </xdr:txBody>
    </xdr:sp>
    <xdr:clientData/>
  </xdr:twoCellAnchor>
  <xdr:twoCellAnchor>
    <xdr:from>
      <xdr:col>5</xdr:col>
      <xdr:colOff>253594</xdr:colOff>
      <xdr:row>0</xdr:row>
      <xdr:rowOff>48769</xdr:rowOff>
    </xdr:from>
    <xdr:to>
      <xdr:col>6</xdr:col>
      <xdr:colOff>624233</xdr:colOff>
      <xdr:row>2</xdr:row>
      <xdr:rowOff>165812</xdr:rowOff>
    </xdr:to>
    <xdr:sp macro="" textlink="">
      <xdr:nvSpPr>
        <xdr:cNvPr id="3" name="Rectangle: Rounded Corners 2">
          <a:extLst>
            <a:ext uri="{FF2B5EF4-FFF2-40B4-BE49-F238E27FC236}">
              <a16:creationId xmlns:a16="http://schemas.microsoft.com/office/drawing/2014/main" id="{B6D32DAE-18A8-CA83-C2F1-9B59029D531A}"/>
            </a:ext>
          </a:extLst>
        </xdr:cNvPr>
        <xdr:cNvSpPr/>
      </xdr:nvSpPr>
      <xdr:spPr>
        <a:xfrm>
          <a:off x="3457651" y="48769"/>
          <a:ext cx="1014377" cy="487680"/>
        </a:xfrm>
        <a:prstGeom prst="roundRect">
          <a:avLst>
            <a:gd name="adj" fmla="val 1061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34137</xdr:colOff>
      <xdr:row>0</xdr:row>
      <xdr:rowOff>53641</xdr:rowOff>
    </xdr:from>
    <xdr:to>
      <xdr:col>9</xdr:col>
      <xdr:colOff>112166</xdr:colOff>
      <xdr:row>5</xdr:row>
      <xdr:rowOff>141424</xdr:rowOff>
    </xdr:to>
    <xdr:sp macro="" textlink="">
      <xdr:nvSpPr>
        <xdr:cNvPr id="4" name="Rectangle: Rounded Corners 3">
          <a:extLst>
            <a:ext uri="{FF2B5EF4-FFF2-40B4-BE49-F238E27FC236}">
              <a16:creationId xmlns:a16="http://schemas.microsoft.com/office/drawing/2014/main" id="{76EEAD96-FBD1-D559-5CB6-A37FBA12EAAD}"/>
            </a:ext>
          </a:extLst>
        </xdr:cNvPr>
        <xdr:cNvSpPr/>
      </xdr:nvSpPr>
      <xdr:spPr>
        <a:xfrm>
          <a:off x="4525670" y="53641"/>
          <a:ext cx="1365504" cy="1014375"/>
        </a:xfrm>
        <a:prstGeom prst="roundRect">
          <a:avLst>
            <a:gd name="adj" fmla="val 54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48769</xdr:colOff>
      <xdr:row>3</xdr:row>
      <xdr:rowOff>19507</xdr:rowOff>
    </xdr:from>
    <xdr:to>
      <xdr:col>1</xdr:col>
      <xdr:colOff>53646</xdr:colOff>
      <xdr:row>16</xdr:row>
      <xdr:rowOff>19507</xdr:rowOff>
    </xdr:to>
    <xdr:sp macro="" textlink="">
      <xdr:nvSpPr>
        <xdr:cNvPr id="6" name="Rectangle: Rounded Corners 5">
          <a:extLst>
            <a:ext uri="{FF2B5EF4-FFF2-40B4-BE49-F238E27FC236}">
              <a16:creationId xmlns:a16="http://schemas.microsoft.com/office/drawing/2014/main" id="{08E6A785-232D-4A1B-7A74-8FDAE1563536}"/>
            </a:ext>
          </a:extLst>
        </xdr:cNvPr>
        <xdr:cNvSpPr/>
      </xdr:nvSpPr>
      <xdr:spPr>
        <a:xfrm>
          <a:off x="48769" y="575462"/>
          <a:ext cx="648614" cy="2409140"/>
        </a:xfrm>
        <a:prstGeom prst="roundRect">
          <a:avLst>
            <a:gd name="adj" fmla="val 86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106874</xdr:colOff>
      <xdr:row>3</xdr:row>
      <xdr:rowOff>24383</xdr:rowOff>
    </xdr:from>
    <xdr:to>
      <xdr:col>11</xdr:col>
      <xdr:colOff>238963</xdr:colOff>
      <xdr:row>15</xdr:row>
      <xdr:rowOff>180442</xdr:rowOff>
    </xdr:to>
    <xdr:grpSp>
      <xdr:nvGrpSpPr>
        <xdr:cNvPr id="10" name="Group 9">
          <a:extLst>
            <a:ext uri="{FF2B5EF4-FFF2-40B4-BE49-F238E27FC236}">
              <a16:creationId xmlns:a16="http://schemas.microsoft.com/office/drawing/2014/main" id="{DA302A81-362D-C8E8-0DAD-F17EE291CD18}"/>
            </a:ext>
          </a:extLst>
        </xdr:cNvPr>
        <xdr:cNvGrpSpPr/>
      </xdr:nvGrpSpPr>
      <xdr:grpSpPr>
        <a:xfrm>
          <a:off x="750611" y="580338"/>
          <a:ext cx="6554835" cy="2379880"/>
          <a:chOff x="747811" y="585728"/>
          <a:chExt cx="5667565" cy="2130239"/>
        </a:xfrm>
      </xdr:grpSpPr>
      <xdr:sp macro="" textlink="">
        <xdr:nvSpPr>
          <xdr:cNvPr id="7" name="Rectangle: Rounded Corners 6">
            <a:extLst>
              <a:ext uri="{FF2B5EF4-FFF2-40B4-BE49-F238E27FC236}">
                <a16:creationId xmlns:a16="http://schemas.microsoft.com/office/drawing/2014/main" id="{7C66CA20-E0E7-9BFF-BD5E-6D99F98D09F8}"/>
              </a:ext>
            </a:extLst>
          </xdr:cNvPr>
          <xdr:cNvSpPr/>
        </xdr:nvSpPr>
        <xdr:spPr>
          <a:xfrm>
            <a:off x="748170" y="585728"/>
            <a:ext cx="1020434" cy="628595"/>
          </a:xfrm>
          <a:prstGeom prst="roundRect">
            <a:avLst>
              <a:gd name="adj" fmla="val 86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6ECA01E-730A-4F17-93F6-691C953F0B73}"/>
              </a:ext>
            </a:extLst>
          </xdr:cNvPr>
          <xdr:cNvSpPr/>
        </xdr:nvSpPr>
        <xdr:spPr>
          <a:xfrm>
            <a:off x="1810771" y="590094"/>
            <a:ext cx="1045735" cy="624229"/>
          </a:xfrm>
          <a:prstGeom prst="roundRect">
            <a:avLst>
              <a:gd name="adj" fmla="val 86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19256AA3-6E69-4526-7936-670DA6F9BA99}"/>
              </a:ext>
            </a:extLst>
          </xdr:cNvPr>
          <xdr:cNvSpPr/>
        </xdr:nvSpPr>
        <xdr:spPr>
          <a:xfrm>
            <a:off x="2890240" y="594460"/>
            <a:ext cx="1054166" cy="619865"/>
          </a:xfrm>
          <a:prstGeom prst="roundRect">
            <a:avLst>
              <a:gd name="adj" fmla="val 86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950E5298-EB78-7C95-9165-3E3BBDB3D9BB}"/>
              </a:ext>
            </a:extLst>
          </xdr:cNvPr>
          <xdr:cNvSpPr/>
        </xdr:nvSpPr>
        <xdr:spPr>
          <a:xfrm>
            <a:off x="747811" y="1707594"/>
            <a:ext cx="3217678" cy="1008372"/>
          </a:xfrm>
          <a:prstGeom prst="roundRect">
            <a:avLst>
              <a:gd name="adj" fmla="val 561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2DE65CAB-D4C3-1536-88E0-C7D056E6A6D1}"/>
              </a:ext>
            </a:extLst>
          </xdr:cNvPr>
          <xdr:cNvSpPr/>
        </xdr:nvSpPr>
        <xdr:spPr>
          <a:xfrm>
            <a:off x="752387" y="1257976"/>
            <a:ext cx="3204669" cy="410332"/>
          </a:xfrm>
          <a:prstGeom prst="roundRect">
            <a:avLst>
              <a:gd name="adj" fmla="val 86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E1B3777A-4350-C498-9A5A-D33D1F3B754E}"/>
              </a:ext>
            </a:extLst>
          </xdr:cNvPr>
          <xdr:cNvSpPr/>
        </xdr:nvSpPr>
        <xdr:spPr>
          <a:xfrm>
            <a:off x="4011873" y="1070268"/>
            <a:ext cx="2403503" cy="1645699"/>
          </a:xfrm>
          <a:prstGeom prst="roundRect">
            <a:avLst>
              <a:gd name="adj" fmla="val 31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165812</xdr:colOff>
      <xdr:row>0</xdr:row>
      <xdr:rowOff>48765</xdr:rowOff>
    </xdr:from>
    <xdr:to>
      <xdr:col>11</xdr:col>
      <xdr:colOff>234087</xdr:colOff>
      <xdr:row>5</xdr:row>
      <xdr:rowOff>136548</xdr:rowOff>
    </xdr:to>
    <xdr:sp macro="" textlink="">
      <xdr:nvSpPr>
        <xdr:cNvPr id="16" name="Rectangle: Rounded Corners 15">
          <a:extLst>
            <a:ext uri="{FF2B5EF4-FFF2-40B4-BE49-F238E27FC236}">
              <a16:creationId xmlns:a16="http://schemas.microsoft.com/office/drawing/2014/main" id="{1582CFB3-B847-8B24-89AE-71CBD8F3B0B0}"/>
            </a:ext>
          </a:extLst>
        </xdr:cNvPr>
        <xdr:cNvSpPr/>
      </xdr:nvSpPr>
      <xdr:spPr>
        <a:xfrm>
          <a:off x="5944820" y="48765"/>
          <a:ext cx="1355750" cy="1014375"/>
        </a:xfrm>
        <a:prstGeom prst="roundRect">
          <a:avLst>
            <a:gd name="adj" fmla="val 54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179222</xdr:colOff>
      <xdr:row>5</xdr:row>
      <xdr:rowOff>147523</xdr:rowOff>
    </xdr:from>
    <xdr:ext cx="65" cy="172227"/>
    <xdr:sp macro="" textlink="">
      <xdr:nvSpPr>
        <xdr:cNvPr id="22" name="TextBox 21">
          <a:extLst>
            <a:ext uri="{FF2B5EF4-FFF2-40B4-BE49-F238E27FC236}">
              <a16:creationId xmlns:a16="http://schemas.microsoft.com/office/drawing/2014/main" id="{ED51E06E-E666-420A-E97B-5A29410250ED}"/>
            </a:ext>
          </a:extLst>
        </xdr:cNvPr>
        <xdr:cNvSpPr txBox="1"/>
      </xdr:nvSpPr>
      <xdr:spPr>
        <a:xfrm>
          <a:off x="4027017" y="107411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1</xdr:col>
      <xdr:colOff>39015</xdr:colOff>
      <xdr:row>0</xdr:row>
      <xdr:rowOff>34137</xdr:rowOff>
    </xdr:from>
    <xdr:ext cx="2365248" cy="264560"/>
    <xdr:sp macro="" textlink="">
      <xdr:nvSpPr>
        <xdr:cNvPr id="25" name="TextBox 24">
          <a:extLst>
            <a:ext uri="{FF2B5EF4-FFF2-40B4-BE49-F238E27FC236}">
              <a16:creationId xmlns:a16="http://schemas.microsoft.com/office/drawing/2014/main" id="{53118A7C-B597-6A1E-92C4-21D28012E822}"/>
            </a:ext>
          </a:extLst>
        </xdr:cNvPr>
        <xdr:cNvSpPr txBox="1"/>
      </xdr:nvSpPr>
      <xdr:spPr>
        <a:xfrm>
          <a:off x="682752" y="34137"/>
          <a:ext cx="23652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Hospital Emergency Room Dashboard</a:t>
          </a:r>
        </a:p>
      </xdr:txBody>
    </xdr:sp>
    <xdr:clientData/>
  </xdr:oneCellAnchor>
  <xdr:twoCellAnchor editAs="oneCell">
    <xdr:from>
      <xdr:col>0</xdr:col>
      <xdr:colOff>0</xdr:colOff>
      <xdr:row>0</xdr:row>
      <xdr:rowOff>39031</xdr:rowOff>
    </xdr:from>
    <xdr:to>
      <xdr:col>1</xdr:col>
      <xdr:colOff>63399</xdr:colOff>
      <xdr:row>2</xdr:row>
      <xdr:rowOff>139545</xdr:rowOff>
    </xdr:to>
    <xdr:pic>
      <xdr:nvPicPr>
        <xdr:cNvPr id="29" name="Picture 28">
          <a:extLst>
            <a:ext uri="{FF2B5EF4-FFF2-40B4-BE49-F238E27FC236}">
              <a16:creationId xmlns:a16="http://schemas.microsoft.com/office/drawing/2014/main" id="{3C07FD25-C1F4-F1E8-03EF-F2E03AAC3F5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38" t="3150" r="11630" b="5234"/>
        <a:stretch>
          <a:fillRect/>
        </a:stretch>
      </xdr:blipFill>
      <xdr:spPr>
        <a:xfrm>
          <a:off x="0" y="39031"/>
          <a:ext cx="707136" cy="471151"/>
        </a:xfrm>
        <a:prstGeom prst="rect">
          <a:avLst/>
        </a:prstGeom>
      </xdr:spPr>
    </xdr:pic>
    <xdr:clientData/>
  </xdr:twoCellAnchor>
  <xdr:oneCellAnchor>
    <xdr:from>
      <xdr:col>2</xdr:col>
      <xdr:colOff>92659</xdr:colOff>
      <xdr:row>1</xdr:row>
      <xdr:rowOff>43891</xdr:rowOff>
    </xdr:from>
    <xdr:ext cx="955853" cy="316992"/>
    <xdr:sp macro="" textlink="">
      <xdr:nvSpPr>
        <xdr:cNvPr id="30" name="TextBox 29">
          <a:extLst>
            <a:ext uri="{FF2B5EF4-FFF2-40B4-BE49-F238E27FC236}">
              <a16:creationId xmlns:a16="http://schemas.microsoft.com/office/drawing/2014/main" id="{330A9B52-1F80-9768-D672-66A09E1F86A5}"/>
            </a:ext>
          </a:extLst>
        </xdr:cNvPr>
        <xdr:cNvSpPr txBox="1"/>
      </xdr:nvSpPr>
      <xdr:spPr>
        <a:xfrm>
          <a:off x="1380134" y="229210"/>
          <a:ext cx="955853" cy="3169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latin typeface="Constantia" panose="02030602050306030303" pitchFamily="18" charset="0"/>
              <a:ea typeface="Calibri" panose="020F0502020204030204" pitchFamily="34" charset="0"/>
              <a:cs typeface="Arial" panose="020B0604020202020204" pitchFamily="34" charset="0"/>
            </a:rPr>
            <a:t>Monthly Report</a:t>
          </a:r>
        </a:p>
        <a:p>
          <a:endParaRPr lang="en-IN" sz="8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oneCellAnchor>
    <xdr:from>
      <xdr:col>1</xdr:col>
      <xdr:colOff>277980</xdr:colOff>
      <xdr:row>4</xdr:row>
      <xdr:rowOff>63400</xdr:rowOff>
    </xdr:from>
    <xdr:ext cx="955853" cy="258469"/>
    <xdr:sp macro="" textlink="">
      <xdr:nvSpPr>
        <xdr:cNvPr id="31" name="TextBox 30">
          <a:extLst>
            <a:ext uri="{FF2B5EF4-FFF2-40B4-BE49-F238E27FC236}">
              <a16:creationId xmlns:a16="http://schemas.microsoft.com/office/drawing/2014/main" id="{DB5EA873-4194-21EC-4B76-4E9F415DC8F6}"/>
            </a:ext>
          </a:extLst>
        </xdr:cNvPr>
        <xdr:cNvSpPr txBox="1"/>
      </xdr:nvSpPr>
      <xdr:spPr>
        <a:xfrm>
          <a:off x="921717" y="804673"/>
          <a:ext cx="955853" cy="258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latin typeface="Constantia" panose="02030602050306030303" pitchFamily="18" charset="0"/>
              <a:ea typeface="Calibri" panose="020F0502020204030204" pitchFamily="34" charset="0"/>
              <a:cs typeface="Arial" panose="020B0604020202020204" pitchFamily="34" charset="0"/>
            </a:rPr>
            <a:t>No.</a:t>
          </a:r>
          <a:r>
            <a:rPr lang="en-IN" sz="800" baseline="0">
              <a:latin typeface="Constantia" panose="02030602050306030303" pitchFamily="18" charset="0"/>
              <a:ea typeface="Calibri" panose="020F0502020204030204" pitchFamily="34" charset="0"/>
              <a:cs typeface="Arial" panose="020B0604020202020204" pitchFamily="34" charset="0"/>
            </a:rPr>
            <a:t> of patient</a:t>
          </a:r>
          <a:endParaRPr lang="en-IN" sz="8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oneCellAnchor>
    <xdr:from>
      <xdr:col>1</xdr:col>
      <xdr:colOff>497430</xdr:colOff>
      <xdr:row>3</xdr:row>
      <xdr:rowOff>97535</xdr:rowOff>
    </xdr:from>
    <xdr:ext cx="751029" cy="287731"/>
    <xdr:sp macro="" textlink="'Pivot Report'!A5">
      <xdr:nvSpPr>
        <xdr:cNvPr id="33" name="TextBox 32">
          <a:extLst>
            <a:ext uri="{FF2B5EF4-FFF2-40B4-BE49-F238E27FC236}">
              <a16:creationId xmlns:a16="http://schemas.microsoft.com/office/drawing/2014/main" id="{AD8B2E8D-141E-4269-C8F3-94866ED6B8D6}"/>
            </a:ext>
          </a:extLst>
        </xdr:cNvPr>
        <xdr:cNvSpPr txBox="1"/>
      </xdr:nvSpPr>
      <xdr:spPr>
        <a:xfrm>
          <a:off x="1141167" y="653490"/>
          <a:ext cx="751029" cy="2877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D52321D-AFBE-4288-9739-B07D775D772E}" type="TxLink">
            <a:rPr lang="en-US" sz="1100" b="0" i="0" u="none" strike="noStrike">
              <a:solidFill>
                <a:srgbClr val="000000"/>
              </a:solidFill>
              <a:latin typeface="Calibri"/>
              <a:ea typeface="Calibri"/>
              <a:cs typeface="Calibri"/>
            </a:rPr>
            <a:pPr/>
            <a:t>464</a:t>
          </a:fld>
          <a:endParaRPr lang="en-IN" sz="8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oneCellAnchor>
    <xdr:from>
      <xdr:col>3</xdr:col>
      <xdr:colOff>282852</xdr:colOff>
      <xdr:row>3</xdr:row>
      <xdr:rowOff>97537</xdr:rowOff>
    </xdr:from>
    <xdr:ext cx="751029" cy="287731"/>
    <xdr:sp macro="" textlink="'Pivot Report'!A11">
      <xdr:nvSpPr>
        <xdr:cNvPr id="34" name="TextBox 33">
          <a:extLst>
            <a:ext uri="{FF2B5EF4-FFF2-40B4-BE49-F238E27FC236}">
              <a16:creationId xmlns:a16="http://schemas.microsoft.com/office/drawing/2014/main" id="{0B6B56D8-E8C3-2DE5-8280-FAB15A6ADB72}"/>
            </a:ext>
          </a:extLst>
        </xdr:cNvPr>
        <xdr:cNvSpPr txBox="1"/>
      </xdr:nvSpPr>
      <xdr:spPr>
        <a:xfrm>
          <a:off x="2214065" y="653492"/>
          <a:ext cx="751029" cy="2877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7FD8E34-8B79-402A-958E-E1276A8F4848}" type="TxLink">
            <a:rPr lang="en-US" sz="1100" b="0" i="0" u="none" strike="noStrike">
              <a:solidFill>
                <a:srgbClr val="000000"/>
              </a:solidFill>
              <a:latin typeface="Calibri"/>
              <a:ea typeface="Calibri"/>
              <a:cs typeface="Calibri"/>
            </a:rPr>
            <a:pPr/>
            <a:t>35.18534483</a:t>
          </a:fld>
          <a:endParaRPr lang="en-IN" sz="8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oneCellAnchor>
    <xdr:from>
      <xdr:col>3</xdr:col>
      <xdr:colOff>78030</xdr:colOff>
      <xdr:row>4</xdr:row>
      <xdr:rowOff>82907</xdr:rowOff>
    </xdr:from>
    <xdr:ext cx="1033881" cy="224332"/>
    <xdr:sp macro="" textlink="">
      <xdr:nvSpPr>
        <xdr:cNvPr id="35" name="TextBox 34">
          <a:extLst>
            <a:ext uri="{FF2B5EF4-FFF2-40B4-BE49-F238E27FC236}">
              <a16:creationId xmlns:a16="http://schemas.microsoft.com/office/drawing/2014/main" id="{CCE279AA-F482-5E03-9B42-1578F57930AF}"/>
            </a:ext>
          </a:extLst>
        </xdr:cNvPr>
        <xdr:cNvSpPr txBox="1"/>
      </xdr:nvSpPr>
      <xdr:spPr>
        <a:xfrm>
          <a:off x="2009243" y="824180"/>
          <a:ext cx="1033881" cy="224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baseline="0">
              <a:latin typeface="Constantia" panose="02030602050306030303" pitchFamily="18" charset="0"/>
              <a:ea typeface="Calibri" panose="020F0502020204030204" pitchFamily="34" charset="0"/>
              <a:cs typeface="Arial" panose="020B0604020202020204" pitchFamily="34" charset="0"/>
            </a:rPr>
            <a:t>Average Wait Time</a:t>
          </a:r>
          <a:endParaRPr lang="en-IN" sz="8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oneCellAnchor>
    <xdr:from>
      <xdr:col>5</xdr:col>
      <xdr:colOff>277977</xdr:colOff>
      <xdr:row>3</xdr:row>
      <xdr:rowOff>107291</xdr:rowOff>
    </xdr:from>
    <xdr:ext cx="731522" cy="287731"/>
    <xdr:sp macro="" textlink="'Pivot Report'!A15">
      <xdr:nvSpPr>
        <xdr:cNvPr id="36" name="TextBox 35">
          <a:extLst>
            <a:ext uri="{FF2B5EF4-FFF2-40B4-BE49-F238E27FC236}">
              <a16:creationId xmlns:a16="http://schemas.microsoft.com/office/drawing/2014/main" id="{887C8A11-10EE-3BC2-0981-20108C9DF794}"/>
            </a:ext>
          </a:extLst>
        </xdr:cNvPr>
        <xdr:cNvSpPr txBox="1"/>
      </xdr:nvSpPr>
      <xdr:spPr>
        <a:xfrm>
          <a:off x="3482034" y="663246"/>
          <a:ext cx="731522" cy="2877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93D92C9-9300-46BD-9D14-7BBB215EB47E}" type="TxLink">
            <a:rPr lang="en-US" sz="1100" b="0" i="0" u="none" strike="noStrike">
              <a:solidFill>
                <a:srgbClr val="000000"/>
              </a:solidFill>
              <a:latin typeface="Calibri"/>
              <a:ea typeface="Calibri"/>
              <a:cs typeface="Calibri"/>
            </a:rPr>
            <a:pPr/>
            <a:t>5.092857143</a:t>
          </a:fld>
          <a:endParaRPr lang="en-IN" sz="8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oneCellAnchor>
    <xdr:from>
      <xdr:col>4</xdr:col>
      <xdr:colOff>609600</xdr:colOff>
      <xdr:row>4</xdr:row>
      <xdr:rowOff>87785</xdr:rowOff>
    </xdr:from>
    <xdr:ext cx="1463040" cy="395020"/>
    <xdr:sp macro="" textlink="">
      <xdr:nvSpPr>
        <xdr:cNvPr id="37" name="TextBox 36">
          <a:extLst>
            <a:ext uri="{FF2B5EF4-FFF2-40B4-BE49-F238E27FC236}">
              <a16:creationId xmlns:a16="http://schemas.microsoft.com/office/drawing/2014/main" id="{A06F26B1-5AE6-F2B7-7622-39EA10335D78}"/>
            </a:ext>
          </a:extLst>
        </xdr:cNvPr>
        <xdr:cNvSpPr txBox="1"/>
      </xdr:nvSpPr>
      <xdr:spPr>
        <a:xfrm>
          <a:off x="3184551" y="829058"/>
          <a:ext cx="1463040" cy="395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latin typeface="Constantia" panose="02030602050306030303" pitchFamily="18" charset="0"/>
              <a:ea typeface="Calibri" panose="020F0502020204030204" pitchFamily="34" charset="0"/>
              <a:cs typeface="Arial" panose="020B0604020202020204" pitchFamily="34" charset="0"/>
            </a:rPr>
            <a:t>Patient Satisfaction Score</a:t>
          </a:r>
        </a:p>
      </xdr:txBody>
    </xdr:sp>
    <xdr:clientData/>
  </xdr:oneCellAnchor>
  <xdr:twoCellAnchor editAs="oneCell">
    <xdr:from>
      <xdr:col>2</xdr:col>
      <xdr:colOff>453543</xdr:colOff>
      <xdr:row>3</xdr:row>
      <xdr:rowOff>39017</xdr:rowOff>
    </xdr:from>
    <xdr:to>
      <xdr:col>3</xdr:col>
      <xdr:colOff>1</xdr:colOff>
      <xdr:row>4</xdr:row>
      <xdr:rowOff>29610</xdr:rowOff>
    </xdr:to>
    <xdr:pic>
      <xdr:nvPicPr>
        <xdr:cNvPr id="9" name="Graphic 8" descr="Male profile with solid fill">
          <a:extLst>
            <a:ext uri="{FF2B5EF4-FFF2-40B4-BE49-F238E27FC236}">
              <a16:creationId xmlns:a16="http://schemas.microsoft.com/office/drawing/2014/main" id="{4B695FF9-AC11-3A38-A137-92BF3061C26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41018" y="594972"/>
          <a:ext cx="190196" cy="175911"/>
        </a:xfrm>
        <a:prstGeom prst="rect">
          <a:avLst/>
        </a:prstGeom>
      </xdr:spPr>
    </xdr:pic>
    <xdr:clientData/>
  </xdr:twoCellAnchor>
  <xdr:twoCellAnchor editAs="oneCell">
    <xdr:from>
      <xdr:col>4</xdr:col>
      <xdr:colOff>419404</xdr:colOff>
      <xdr:row>3</xdr:row>
      <xdr:rowOff>43029</xdr:rowOff>
    </xdr:from>
    <xdr:to>
      <xdr:col>5</xdr:col>
      <xdr:colOff>4877</xdr:colOff>
      <xdr:row>4</xdr:row>
      <xdr:rowOff>14631</xdr:rowOff>
    </xdr:to>
    <xdr:pic>
      <xdr:nvPicPr>
        <xdr:cNvPr id="21" name="Graphic 20" descr="Hourglass Finished with solid fill">
          <a:extLst>
            <a:ext uri="{FF2B5EF4-FFF2-40B4-BE49-F238E27FC236}">
              <a16:creationId xmlns:a16="http://schemas.microsoft.com/office/drawing/2014/main" id="{7DE428CD-8084-2CC1-DC72-98CB9252ACD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94355" y="598984"/>
          <a:ext cx="214579" cy="156920"/>
        </a:xfrm>
        <a:prstGeom prst="rect">
          <a:avLst/>
        </a:prstGeom>
      </xdr:spPr>
    </xdr:pic>
    <xdr:clientData/>
  </xdr:twoCellAnchor>
  <xdr:twoCellAnchor editAs="oneCell">
    <xdr:from>
      <xdr:col>6</xdr:col>
      <xdr:colOff>370638</xdr:colOff>
      <xdr:row>3</xdr:row>
      <xdr:rowOff>34139</xdr:rowOff>
    </xdr:from>
    <xdr:to>
      <xdr:col>6</xdr:col>
      <xdr:colOff>594970</xdr:colOff>
      <xdr:row>4</xdr:row>
      <xdr:rowOff>63805</xdr:rowOff>
    </xdr:to>
    <xdr:pic>
      <xdr:nvPicPr>
        <xdr:cNvPr id="27" name="Graphic 26" descr="Customer review with solid fill">
          <a:extLst>
            <a:ext uri="{FF2B5EF4-FFF2-40B4-BE49-F238E27FC236}">
              <a16:creationId xmlns:a16="http://schemas.microsoft.com/office/drawing/2014/main" id="{2B0CF962-8CA8-DFC9-E78D-83F573324B7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18433" y="590094"/>
          <a:ext cx="224332" cy="214984"/>
        </a:xfrm>
        <a:prstGeom prst="rect">
          <a:avLst/>
        </a:prstGeom>
      </xdr:spPr>
    </xdr:pic>
    <xdr:clientData/>
  </xdr:twoCellAnchor>
  <xdr:twoCellAnchor editAs="oneCell">
    <xdr:from>
      <xdr:col>0</xdr:col>
      <xdr:colOff>73153</xdr:colOff>
      <xdr:row>3</xdr:row>
      <xdr:rowOff>68275</xdr:rowOff>
    </xdr:from>
    <xdr:to>
      <xdr:col>1</xdr:col>
      <xdr:colOff>19507</xdr:colOff>
      <xdr:row>15</xdr:row>
      <xdr:rowOff>156058</xdr:rowOff>
    </xdr:to>
    <mc:AlternateContent xmlns:mc="http://schemas.openxmlformats.org/markup-compatibility/2006" xmlns:a14="http://schemas.microsoft.com/office/drawing/2010/main">
      <mc:Choice Requires="a14">
        <xdr:graphicFrame macro="">
          <xdr:nvGraphicFramePr>
            <xdr:cNvPr id="19" name="Date (Month)">
              <a:extLst>
                <a:ext uri="{FF2B5EF4-FFF2-40B4-BE49-F238E27FC236}">
                  <a16:creationId xmlns:a16="http://schemas.microsoft.com/office/drawing/2014/main" id="{1AD5939B-DD71-474F-9C35-DCB9DB869C3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3153" y="624230"/>
              <a:ext cx="590091" cy="2311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53645</xdr:colOff>
      <xdr:row>4</xdr:row>
      <xdr:rowOff>146305</xdr:rowOff>
    </xdr:from>
    <xdr:to>
      <xdr:col>3</xdr:col>
      <xdr:colOff>190195</xdr:colOff>
      <xdr:row>7</xdr:row>
      <xdr:rowOff>121920</xdr:rowOff>
    </xdr:to>
    <xdr:graphicFrame macro="">
      <xdr:nvGraphicFramePr>
        <xdr:cNvPr id="20" name="Chart 19">
          <a:hlinkClick xmlns:r="http://schemas.openxmlformats.org/officeDocument/2006/relationships" r:id="rId8"/>
          <a:extLst>
            <a:ext uri="{FF2B5EF4-FFF2-40B4-BE49-F238E27FC236}">
              <a16:creationId xmlns:a16="http://schemas.microsoft.com/office/drawing/2014/main" id="{BF164E70-A8EB-4C21-A3AD-9F8387572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58519</xdr:colOff>
      <xdr:row>4</xdr:row>
      <xdr:rowOff>146304</xdr:rowOff>
    </xdr:from>
    <xdr:to>
      <xdr:col>4</xdr:col>
      <xdr:colOff>609599</xdr:colOff>
      <xdr:row>6</xdr:row>
      <xdr:rowOff>180441</xdr:rowOff>
    </xdr:to>
    <xdr:graphicFrame macro="">
      <xdr:nvGraphicFramePr>
        <xdr:cNvPr id="17" name="Chart 16">
          <a:hlinkClick xmlns:r="http://schemas.openxmlformats.org/officeDocument/2006/relationships" r:id="rId10"/>
          <a:extLst>
            <a:ext uri="{FF2B5EF4-FFF2-40B4-BE49-F238E27FC236}">
              <a16:creationId xmlns:a16="http://schemas.microsoft.com/office/drawing/2014/main" id="{6C799535-B176-417E-BD71-563756AC7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531572</xdr:colOff>
      <xdr:row>4</xdr:row>
      <xdr:rowOff>43891</xdr:rowOff>
    </xdr:from>
    <xdr:to>
      <xdr:col>7</xdr:col>
      <xdr:colOff>82906</xdr:colOff>
      <xdr:row>7</xdr:row>
      <xdr:rowOff>121920</xdr:rowOff>
    </xdr:to>
    <xdr:graphicFrame macro="">
      <xdr:nvGraphicFramePr>
        <xdr:cNvPr id="28" name="Chart 27">
          <a:hlinkClick xmlns:r="http://schemas.openxmlformats.org/officeDocument/2006/relationships" r:id="rId12"/>
          <a:extLst>
            <a:ext uri="{FF2B5EF4-FFF2-40B4-BE49-F238E27FC236}">
              <a16:creationId xmlns:a16="http://schemas.microsoft.com/office/drawing/2014/main" id="{A5E940E8-0CC2-4588-B7E4-85314DCD6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97537</xdr:colOff>
      <xdr:row>10</xdr:row>
      <xdr:rowOff>39014</xdr:rowOff>
    </xdr:from>
    <xdr:to>
      <xdr:col>6</xdr:col>
      <xdr:colOff>541325</xdr:colOff>
      <xdr:row>15</xdr:row>
      <xdr:rowOff>146303</xdr:rowOff>
    </xdr:to>
    <xdr:graphicFrame macro="">
      <xdr:nvGraphicFramePr>
        <xdr:cNvPr id="5" name="Chart 4">
          <a:extLst>
            <a:ext uri="{FF2B5EF4-FFF2-40B4-BE49-F238E27FC236}">
              <a16:creationId xmlns:a16="http://schemas.microsoft.com/office/drawing/2014/main" id="{71267A07-06AE-4609-B8BC-71A0A2659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xdr:col>
      <xdr:colOff>594970</xdr:colOff>
      <xdr:row>14</xdr:row>
      <xdr:rowOff>146305</xdr:rowOff>
    </xdr:from>
    <xdr:ext cx="1463040" cy="258469"/>
    <xdr:sp macro="" textlink="">
      <xdr:nvSpPr>
        <xdr:cNvPr id="18" name="TextBox 17">
          <a:extLst>
            <a:ext uri="{FF2B5EF4-FFF2-40B4-BE49-F238E27FC236}">
              <a16:creationId xmlns:a16="http://schemas.microsoft.com/office/drawing/2014/main" id="{312DE786-C27B-4817-A033-21318C1D7049}"/>
            </a:ext>
          </a:extLst>
        </xdr:cNvPr>
        <xdr:cNvSpPr txBox="1"/>
      </xdr:nvSpPr>
      <xdr:spPr>
        <a:xfrm>
          <a:off x="1882445" y="2740762"/>
          <a:ext cx="1463040" cy="258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latin typeface="Constantia" panose="02030602050306030303" pitchFamily="18" charset="0"/>
              <a:ea typeface="Calibri" panose="020F0502020204030204" pitchFamily="34" charset="0"/>
              <a:cs typeface="Arial" panose="020B0604020202020204" pitchFamily="34" charset="0"/>
            </a:rPr>
            <a:t>No.</a:t>
          </a:r>
          <a:r>
            <a:rPr lang="en-IN" sz="800" baseline="0">
              <a:latin typeface="Constantia" panose="02030602050306030303" pitchFamily="18" charset="0"/>
              <a:ea typeface="Calibri" panose="020F0502020204030204" pitchFamily="34" charset="0"/>
              <a:cs typeface="Arial" panose="020B0604020202020204" pitchFamily="34" charset="0"/>
            </a:rPr>
            <a:t> of patient by Age group</a:t>
          </a:r>
          <a:endParaRPr lang="en-IN" sz="8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twoCellAnchor>
    <xdr:from>
      <xdr:col>7</xdr:col>
      <xdr:colOff>92659</xdr:colOff>
      <xdr:row>0</xdr:row>
      <xdr:rowOff>92660</xdr:rowOff>
    </xdr:from>
    <xdr:to>
      <xdr:col>9</xdr:col>
      <xdr:colOff>87783</xdr:colOff>
      <xdr:row>5</xdr:row>
      <xdr:rowOff>131674</xdr:rowOff>
    </xdr:to>
    <xdr:graphicFrame macro="">
      <xdr:nvGraphicFramePr>
        <xdr:cNvPr id="23" name="Chart 22">
          <a:extLst>
            <a:ext uri="{FF2B5EF4-FFF2-40B4-BE49-F238E27FC236}">
              <a16:creationId xmlns:a16="http://schemas.microsoft.com/office/drawing/2014/main" id="{2775D671-7AF8-4DFD-B6A2-CB269D41A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7</xdr:col>
      <xdr:colOff>263348</xdr:colOff>
      <xdr:row>4</xdr:row>
      <xdr:rowOff>165813</xdr:rowOff>
    </xdr:from>
    <xdr:ext cx="1160678" cy="238963"/>
    <xdr:sp macro="" textlink="">
      <xdr:nvSpPr>
        <xdr:cNvPr id="24" name="TextBox 23">
          <a:extLst>
            <a:ext uri="{FF2B5EF4-FFF2-40B4-BE49-F238E27FC236}">
              <a16:creationId xmlns:a16="http://schemas.microsoft.com/office/drawing/2014/main" id="{391D7B0D-7119-45BB-9EFC-2A791C8D5F73}"/>
            </a:ext>
          </a:extLst>
        </xdr:cNvPr>
        <xdr:cNvSpPr txBox="1"/>
      </xdr:nvSpPr>
      <xdr:spPr>
        <a:xfrm>
          <a:off x="4754881" y="907086"/>
          <a:ext cx="1160678" cy="2389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700">
              <a:latin typeface="Constantia" panose="02030602050306030303" pitchFamily="18" charset="0"/>
              <a:ea typeface="Calibri" panose="020F0502020204030204" pitchFamily="34" charset="0"/>
              <a:cs typeface="Arial" panose="020B0604020202020204" pitchFamily="34" charset="0"/>
            </a:rPr>
            <a:t>Patient</a:t>
          </a:r>
          <a:r>
            <a:rPr lang="en-IN" sz="700" baseline="0">
              <a:latin typeface="Constantia" panose="02030602050306030303" pitchFamily="18" charset="0"/>
              <a:ea typeface="Calibri" panose="020F0502020204030204" pitchFamily="34" charset="0"/>
              <a:cs typeface="Arial" panose="020B0604020202020204" pitchFamily="34" charset="0"/>
            </a:rPr>
            <a:t> Attend Status</a:t>
          </a:r>
          <a:endParaRPr lang="en-IN" sz="7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twoCellAnchor>
    <xdr:from>
      <xdr:col>9</xdr:col>
      <xdr:colOff>121918</xdr:colOff>
      <xdr:row>0</xdr:row>
      <xdr:rowOff>68275</xdr:rowOff>
    </xdr:from>
    <xdr:to>
      <xdr:col>11</xdr:col>
      <xdr:colOff>204824</xdr:colOff>
      <xdr:row>5</xdr:row>
      <xdr:rowOff>185318</xdr:rowOff>
    </xdr:to>
    <xdr:graphicFrame macro="">
      <xdr:nvGraphicFramePr>
        <xdr:cNvPr id="15" name="Chart 14">
          <a:extLst>
            <a:ext uri="{FF2B5EF4-FFF2-40B4-BE49-F238E27FC236}">
              <a16:creationId xmlns:a16="http://schemas.microsoft.com/office/drawing/2014/main" id="{DEDD22DC-F0A5-4084-AC0B-FBBD6D395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9</xdr:col>
      <xdr:colOff>336083</xdr:colOff>
      <xdr:row>4</xdr:row>
      <xdr:rowOff>156059</xdr:rowOff>
    </xdr:from>
    <xdr:ext cx="1151342" cy="190196"/>
    <xdr:sp macro="" textlink="">
      <xdr:nvSpPr>
        <xdr:cNvPr id="32" name="TextBox 31">
          <a:extLst>
            <a:ext uri="{FF2B5EF4-FFF2-40B4-BE49-F238E27FC236}">
              <a16:creationId xmlns:a16="http://schemas.microsoft.com/office/drawing/2014/main" id="{2647BBB7-2349-4672-AD36-291FA045979E}"/>
            </a:ext>
          </a:extLst>
        </xdr:cNvPr>
        <xdr:cNvSpPr txBox="1"/>
      </xdr:nvSpPr>
      <xdr:spPr>
        <a:xfrm>
          <a:off x="6115091" y="897332"/>
          <a:ext cx="1151342" cy="190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700">
              <a:latin typeface="Constantia" panose="02030602050306030303" pitchFamily="18" charset="0"/>
              <a:ea typeface="Calibri" panose="020F0502020204030204" pitchFamily="34" charset="0"/>
              <a:cs typeface="Arial" panose="020B0604020202020204" pitchFamily="34" charset="0"/>
            </a:rPr>
            <a:t>Gender</a:t>
          </a:r>
          <a:r>
            <a:rPr lang="en-IN" sz="700" baseline="0">
              <a:latin typeface="Constantia" panose="02030602050306030303" pitchFamily="18" charset="0"/>
              <a:ea typeface="Calibri" panose="020F0502020204030204" pitchFamily="34" charset="0"/>
              <a:cs typeface="Arial" panose="020B0604020202020204" pitchFamily="34" charset="0"/>
            </a:rPr>
            <a:t> Wise Analysis</a:t>
          </a:r>
          <a:endParaRPr lang="en-IN" sz="7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twoCellAnchor>
    <xdr:from>
      <xdr:col>7</xdr:col>
      <xdr:colOff>73152</xdr:colOff>
      <xdr:row>6</xdr:row>
      <xdr:rowOff>48767</xdr:rowOff>
    </xdr:from>
    <xdr:to>
      <xdr:col>11</xdr:col>
      <xdr:colOff>180442</xdr:colOff>
      <xdr:row>15</xdr:row>
      <xdr:rowOff>170688</xdr:rowOff>
    </xdr:to>
    <xdr:graphicFrame macro="">
      <xdr:nvGraphicFramePr>
        <xdr:cNvPr id="38" name="Chart 37">
          <a:extLst>
            <a:ext uri="{FF2B5EF4-FFF2-40B4-BE49-F238E27FC236}">
              <a16:creationId xmlns:a16="http://schemas.microsoft.com/office/drawing/2014/main" id="{C9F331CF-A035-49AF-AE92-6B259EB3A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7</xdr:col>
      <xdr:colOff>380387</xdr:colOff>
      <xdr:row>14</xdr:row>
      <xdr:rowOff>87782</xdr:rowOff>
    </xdr:from>
    <xdr:ext cx="1994613" cy="238963"/>
    <xdr:sp macro="" textlink="">
      <xdr:nvSpPr>
        <xdr:cNvPr id="39" name="TextBox 38">
          <a:extLst>
            <a:ext uri="{FF2B5EF4-FFF2-40B4-BE49-F238E27FC236}">
              <a16:creationId xmlns:a16="http://schemas.microsoft.com/office/drawing/2014/main" id="{03FCFAFC-CFDA-481D-9B7A-CCB75BDCBCEF}"/>
            </a:ext>
          </a:extLst>
        </xdr:cNvPr>
        <xdr:cNvSpPr txBox="1"/>
      </xdr:nvSpPr>
      <xdr:spPr>
        <a:xfrm>
          <a:off x="4871920" y="2682239"/>
          <a:ext cx="1994613" cy="2389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latin typeface="Constantia" panose="02030602050306030303" pitchFamily="18" charset="0"/>
              <a:ea typeface="Calibri" panose="020F0502020204030204" pitchFamily="34" charset="0"/>
              <a:cs typeface="Arial" panose="020B0604020202020204" pitchFamily="34" charset="0"/>
            </a:rPr>
            <a:t>No.</a:t>
          </a:r>
          <a:r>
            <a:rPr lang="en-IN" sz="800" baseline="0">
              <a:latin typeface="Constantia" panose="02030602050306030303" pitchFamily="18" charset="0"/>
              <a:ea typeface="Calibri" panose="020F0502020204030204" pitchFamily="34" charset="0"/>
              <a:cs typeface="Arial" panose="020B0604020202020204" pitchFamily="34" charset="0"/>
            </a:rPr>
            <a:t> of patient by departmental reference</a:t>
          </a:r>
          <a:endParaRPr lang="en-IN" sz="800">
            <a:latin typeface="Constantia" panose="02030602050306030303" pitchFamily="18" charset="0"/>
            <a:ea typeface="Calibri" panose="020F0502020204030204" pitchFamily="34" charset="0"/>
            <a:cs typeface="Arial" panose="020B0604020202020204" pitchFamily="34" charset="0"/>
          </a:endParaRPr>
        </a:p>
      </xdr:txBody>
    </xdr:sp>
    <xdr:clientData/>
  </xdr:oneCellAnchor>
  <xdr:twoCellAnchor editAs="oneCell">
    <xdr:from>
      <xdr:col>5</xdr:col>
      <xdr:colOff>292611</xdr:colOff>
      <xdr:row>0</xdr:row>
      <xdr:rowOff>112166</xdr:rowOff>
    </xdr:from>
    <xdr:to>
      <xdr:col>6</xdr:col>
      <xdr:colOff>565711</xdr:colOff>
      <xdr:row>2</xdr:row>
      <xdr:rowOff>126796</xdr:rowOff>
    </xdr:to>
    <mc:AlternateContent xmlns:mc="http://schemas.openxmlformats.org/markup-compatibility/2006">
      <mc:Choice xmlns:a14="http://schemas.microsoft.com/office/drawing/2010/main" Requires="a14">
        <xdr:graphicFrame macro="">
          <xdr:nvGraphicFramePr>
            <xdr:cNvPr id="45" name="Date (Year)">
              <a:extLst>
                <a:ext uri="{FF2B5EF4-FFF2-40B4-BE49-F238E27FC236}">
                  <a16:creationId xmlns:a16="http://schemas.microsoft.com/office/drawing/2014/main" id="{B35C79DD-722A-4274-9933-67D8EBFF680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96668" y="112166"/>
              <a:ext cx="916838" cy="385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14629</xdr:colOff>
      <xdr:row>0</xdr:row>
      <xdr:rowOff>68275</xdr:rowOff>
    </xdr:from>
    <xdr:to>
      <xdr:col>9</xdr:col>
      <xdr:colOff>34137</xdr:colOff>
      <xdr:row>5</xdr:row>
      <xdr:rowOff>126797</xdr:rowOff>
    </xdr:to>
    <xdr:graphicFrame macro="">
      <xdr:nvGraphicFramePr>
        <xdr:cNvPr id="40" name="Chart 39">
          <a:extLst>
            <a:ext uri="{FF2B5EF4-FFF2-40B4-BE49-F238E27FC236}">
              <a16:creationId xmlns:a16="http://schemas.microsoft.com/office/drawing/2014/main" id="{533CE837-0997-4E7F-84AB-CF71F9D18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121923</xdr:colOff>
          <xdr:row>7</xdr:row>
          <xdr:rowOff>34140</xdr:rowOff>
        </xdr:from>
        <xdr:to>
          <xdr:col>6</xdr:col>
          <xdr:colOff>590093</xdr:colOff>
          <xdr:row>9</xdr:row>
          <xdr:rowOff>118072</xdr:rowOff>
        </xdr:to>
        <xdr:pic>
          <xdr:nvPicPr>
            <xdr:cNvPr id="55" name="Picture 54">
              <a:extLst>
                <a:ext uri="{FF2B5EF4-FFF2-40B4-BE49-F238E27FC236}">
                  <a16:creationId xmlns:a16="http://schemas.microsoft.com/office/drawing/2014/main" id="{3840DDDB-188D-A9CF-D7DC-E5EC573F3D81}"/>
                </a:ext>
              </a:extLst>
            </xdr:cNvPr>
            <xdr:cNvPicPr>
              <a:picLocks noChangeAspect="1" noChangeArrowheads="1"/>
              <a:extLst>
                <a:ext uri="{84589F7E-364E-4C9E-8A38-B11213B215E9}">
                  <a14:cameraTool cellRange="'Pivot Report'!$A$50:$D$52" spid="_x0000_s2057"/>
                </a:ext>
              </a:extLst>
            </xdr:cNvPicPr>
          </xdr:nvPicPr>
          <xdr:blipFill>
            <a:blip xmlns:r="http://schemas.openxmlformats.org/officeDocument/2006/relationships" r:embed="rId19"/>
            <a:srcRect/>
            <a:stretch>
              <a:fillRect/>
            </a:stretch>
          </xdr:blipFill>
          <xdr:spPr bwMode="auto">
            <a:xfrm>
              <a:off x="765660" y="1331369"/>
              <a:ext cx="3672228" cy="45456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cdr:x>
      <cdr:y>1</cdr:y>
    </cdr:from>
    <cdr:to>
      <cdr:x>1</cdr:x>
      <cdr:y>1</cdr:y>
    </cdr:to>
    <cdr:pic>
      <cdr:nvPicPr>
        <cdr:cNvPr id="3" name="Picture 2">
          <a:extLst xmlns:a="http://schemas.openxmlformats.org/drawingml/2006/main">
            <a:ext uri="{FF2B5EF4-FFF2-40B4-BE49-F238E27FC236}">
              <a16:creationId xmlns:a16="http://schemas.microsoft.com/office/drawing/2014/main" id="{31E9C65A-DA20-4405-9501-3C33C0D379D9}"/>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flipV="1">
          <a:off x="0" y="985113"/>
          <a:ext cx="1306983" cy="1"/>
        </a:xfrm>
        <a:prstGeom xmlns:a="http://schemas.openxmlformats.org/drawingml/2006/main" prst="rect">
          <a:avLst/>
        </a:prstGeom>
        <a:noFill xmlns:a="http://schemas.openxmlformats.org/drawingml/2006/main"/>
        <a:extLst xmlns:a="http://schemas.openxmlformats.org/drawingml/2006/main">
          <a:ext uri="{909E8E84-426E-40DD-AFC4-6F175D3DCCD1}">
            <a14:hiddenFill xmlns:a14="http://schemas.microsoft.com/office/drawing/2010/main">
              <a:solidFill>
                <a:srgbClr val="FFFFFF"/>
              </a:solidFill>
            </a14:hiddenFill>
          </a:ext>
        </a:extLst>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36575</xdr:colOff>
      <xdr:row>0</xdr:row>
      <xdr:rowOff>36576</xdr:rowOff>
    </xdr:from>
    <xdr:to>
      <xdr:col>11</xdr:col>
      <xdr:colOff>212140</xdr:colOff>
      <xdr:row>21</xdr:row>
      <xdr:rowOff>51207</xdr:rowOff>
    </xdr:to>
    <xdr:graphicFrame macro="">
      <xdr:nvGraphicFramePr>
        <xdr:cNvPr id="2" name="Chart 1">
          <a:extLst>
            <a:ext uri="{FF2B5EF4-FFF2-40B4-BE49-F238E27FC236}">
              <a16:creationId xmlns:a16="http://schemas.microsoft.com/office/drawing/2014/main" id="{D948FB6C-1CEF-42A9-A73D-C9958F515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14630</xdr:colOff>
      <xdr:row>0</xdr:row>
      <xdr:rowOff>14630</xdr:rowOff>
    </xdr:from>
    <xdr:to>
      <xdr:col>12</xdr:col>
      <xdr:colOff>175565</xdr:colOff>
      <xdr:row>18</xdr:row>
      <xdr:rowOff>87781</xdr:rowOff>
    </xdr:to>
    <xdr:graphicFrame macro="">
      <xdr:nvGraphicFramePr>
        <xdr:cNvPr id="2" name="Chart 1">
          <a:extLst>
            <a:ext uri="{FF2B5EF4-FFF2-40B4-BE49-F238E27FC236}">
              <a16:creationId xmlns:a16="http://schemas.microsoft.com/office/drawing/2014/main" id="{B765FD11-8899-47C2-82B7-46BBBFF4C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387706</xdr:colOff>
      <xdr:row>2</xdr:row>
      <xdr:rowOff>21946</xdr:rowOff>
    </xdr:to>
    <xdr:pic>
      <xdr:nvPicPr>
        <xdr:cNvPr id="4" name="Graphic 3" descr="Home with solid fill">
          <a:extLst>
            <a:ext uri="{FF2B5EF4-FFF2-40B4-BE49-F238E27FC236}">
              <a16:creationId xmlns:a16="http://schemas.microsoft.com/office/drawing/2014/main" id="{731A9E67-AC8A-999D-7178-0742E6A1F9A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387706" cy="387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21946</xdr:rowOff>
    </xdr:from>
    <xdr:to>
      <xdr:col>14</xdr:col>
      <xdr:colOff>153621</xdr:colOff>
      <xdr:row>19</xdr:row>
      <xdr:rowOff>138989</xdr:rowOff>
    </xdr:to>
    <xdr:graphicFrame macro="">
      <xdr:nvGraphicFramePr>
        <xdr:cNvPr id="3" name="Chart 2">
          <a:extLst>
            <a:ext uri="{FF2B5EF4-FFF2-40B4-BE49-F238E27FC236}">
              <a16:creationId xmlns:a16="http://schemas.microsoft.com/office/drawing/2014/main" id="{CD710073-4C41-4E9D-BA9F-F31EFB786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21945</xdr:colOff>
      <xdr:row>0</xdr:row>
      <xdr:rowOff>0</xdr:rowOff>
    </xdr:from>
    <xdr:to>
      <xdr:col>0</xdr:col>
      <xdr:colOff>453542</xdr:colOff>
      <xdr:row>2</xdr:row>
      <xdr:rowOff>65837</xdr:rowOff>
    </xdr:to>
    <xdr:pic>
      <xdr:nvPicPr>
        <xdr:cNvPr id="4" name="Graphic 3" descr="Home with solid fill">
          <a:extLst>
            <a:ext uri="{FF2B5EF4-FFF2-40B4-BE49-F238E27FC236}">
              <a16:creationId xmlns:a16="http://schemas.microsoft.com/office/drawing/2014/main" id="{D6F4F0DB-1D2C-70DA-A70A-0B5D086EBA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945" y="0"/>
          <a:ext cx="431597" cy="43159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3171294" createdVersion="5" refreshedVersion="8" minRefreshableVersion="3" recordCount="0" supportSubquery="1" supportAdvancedDrill="1" xr:uid="{22817753-B936-49CB-A8CE-88C427DDE898}">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3518517" createdVersion="5" refreshedVersion="8" minRefreshableVersion="3" recordCount="0" supportSubquery="1" supportAdvancedDrill="1" xr:uid="{AA6E6EC6-30FD-42B0-AFD3-0051E942A590}">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3750002" createdVersion="5" refreshedVersion="8" minRefreshableVersion="3" recordCount="0" supportSubquery="1" supportAdvancedDrill="1" xr:uid="{AA2AC91F-DF28-4FD0-97ED-B29843907C6B}">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3981479" createdVersion="5" refreshedVersion="8" minRefreshableVersion="3" recordCount="0" supportSubquery="1" supportAdvancedDrill="1" xr:uid="{80772A00-90BE-438A-A85F-190CF70D77A5}">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4560187" createdVersion="5" refreshedVersion="8" minRefreshableVersion="3" recordCount="0" supportSubquery="1" supportAdvancedDrill="1" xr:uid="{7DF4519D-FA6F-4B09-9503-672AD855F2B8}">
  <cacheSource type="external" connectionId="3"/>
  <cacheFields count="4">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5138887" createdVersion="5" refreshedVersion="8" minRefreshableVersion="3" recordCount="0" supportSubquery="1" supportAdvancedDrill="1" xr:uid="{CCD6BD3F-A441-4201-8CD0-1ED32F0905B8}">
  <cacheSource type="external" connectionId="3"/>
  <cacheFields count="4">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5486111" createdVersion="5" refreshedVersion="8" minRefreshableVersion="3" recordCount="0" supportSubquery="1" supportAdvancedDrill="1" xr:uid="{DF346BD0-99E3-4FBD-80D1-B5C5796F9009}">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5949073" createdVersion="5" refreshedVersion="8" minRefreshableVersion="3" recordCount="0" supportSubquery="1" supportAdvancedDrill="1" xr:uid="{329D6011-8D86-4542-BBC2-9682EA7AB54B}">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652778" createdVersion="5" refreshedVersion="8" minRefreshableVersion="3" recordCount="0" supportSubquery="1" supportAdvancedDrill="1" xr:uid="{2B0FD88E-74B0-4D7F-90B3-72948DB51DBE}">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6990742" createdVersion="5" refreshedVersion="8" minRefreshableVersion="3" recordCount="0" supportSubquery="1" supportAdvancedDrill="1" xr:uid="{E713C290-4078-4EF0-8E63-0ED270707E20}">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7569443" createdVersion="5" refreshedVersion="8" minRefreshableVersion="3" recordCount="0" supportSubquery="1" supportAdvancedDrill="1" xr:uid="{72D2E0FE-D30D-4B19-B3F4-6184C2AB27D1}">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8148151" createdVersion="5" refreshedVersion="8" minRefreshableVersion="3" recordCount="0" supportSubquery="1" supportAdvancedDrill="1" xr:uid="{FD0ED4A1-FEE2-4068-80C2-EB34C3531716}">
  <cacheSource type="external" connectionId="3"/>
  <cacheFields count="4">
    <cacheField name="[Calendar_Table].[Date (Month)].[Date (Month)]" caption="Date (Month)" numFmtId="0" hierarchy="1" level="1">
      <sharedItems count="1">
        <s v="Nov"/>
      </sharedItems>
    </cacheField>
    <cacheField name="[Calendar_Table].[Date (Year)].[Date (Year)]" caption="Date (Year)" numFmtId="0" hierarchy="3" level="1">
      <sharedItems count="1">
        <s v="2023"/>
      </sharedItems>
    </cacheField>
    <cacheField name="[Calendar_Table].[Date].[Date]" caption="Date" numFmtId="0" level="1">
      <sharedItems containsSemiMixedTypes="0" containsNonDate="0" containsDate="1" containsString="0" minDate="2023-06-01T00:00:00" maxDate="2023-07-01T00:00:00" count="3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sharedItems>
    </cacheField>
    <cacheField name="[Calendar_Table].[Date (Quarter)].[Date (Quarter)]" caption="Date (Quarter)" numFmtId="0" hierarchy="4" level="1">
      <sharedItems count="1">
        <s v="Qtr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0.008848495374" createdVersion="5" refreshedVersion="8" minRefreshableVersion="3" recordCount="0" supportSubquery="1" supportAdvancedDrill="1" xr:uid="{A5757B94-8866-48AF-BC1D-7E2BE0B17AAD}">
  <cacheSource type="external" connectionId="3"/>
  <cacheFields count="4">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802888425926" createdVersion="3" refreshedVersion="8" minRefreshableVersion="3" recordCount="0" supportSubquery="1" supportAdvancedDrill="1" xr:uid="{CC78F93C-4E95-4E76-AF56-C31603D3854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5161814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9.047245717593" createdVersion="3" refreshedVersion="8" minRefreshableVersion="3" recordCount="0" supportSubquery="1" supportAdvancedDrill="1" xr:uid="{964B4CEF-80EB-4E09-AC00-DE6BB072642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195437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8F501B-C59A-4A1D-86C4-621158EB06EF}" name="PivotTable12" cacheId="892" applyNumberFormats="0" applyBorderFormats="0" applyFontFormats="0" applyPatternFormats="0" applyAlignmentFormats="0" applyWidthHeightFormats="1" dataCaption="Values" tag="80da82d7-6378-4dc9-a111-f2f1b9344492" updatedVersion="8" minRefreshableVersion="3" subtotalHiddenItems="1" itemPrintTitles="1" createdVersion="5" indent="0" outline="1" outlineData="1" multipleFieldFilters="0" chartFormat="22">
  <location ref="A70:B73"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attend status" fld="3" subtotal="count" baseField="0" baseItem="0"/>
  </dataFields>
  <chartFormats count="4">
    <chartFormat chart="1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7DBA4C-7F37-43C2-9919-C84291739B9A}" name="PivotTable1" cacheId="859" applyNumberFormats="0" applyBorderFormats="0" applyFontFormats="0" applyPatternFormats="0" applyAlignmentFormats="0" applyWidthHeightFormats="1" dataCaption="Values" tag="d4bf9d6f-8402-4989-8757-fd3a8d858d9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6">
      <pivotArea dataOnly="0" labelOnly="1" outline="0" axis="axisValues" fieldPosition="0"/>
    </format>
  </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D6BED1-F9B3-4C05-BA99-5C31F138409F}" name="PivotTable2" cacheId="868" applyNumberFormats="0" applyBorderFormats="0" applyFontFormats="0" applyPatternFormats="0" applyAlignmentFormats="0" applyWidthHeightFormats="1" dataCaption="Values" tag="d4bf9d6f-8402-4989-8757-fd3a8d858d99" updatedVersion="8" minRefreshableVersion="3" subtotalHiddenItems="1" itemPrintTitles="1" createdVersion="5" indent="0" outline="1" outlineData="1" multipleFieldFilters="0" chartFormat="35">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2">
    <format dxfId="8">
      <pivotArea dataOnly="0" labelOnly="1" outline="0" axis="axisValues" fieldPosition="0"/>
    </format>
    <format dxfId="7">
      <pivotArea outline="0" collapsedLevelsAreSubtotals="1" fieldPosition="0"/>
    </format>
  </formats>
  <chartFormats count="8">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61A90-2F77-4E47-B680-22D3502BFE6E}" name="PivotTable3" cacheId="862" applyNumberFormats="0" applyBorderFormats="0" applyFontFormats="0" applyPatternFormats="0" applyAlignmentFormats="0" applyWidthHeightFormats="1" dataCaption="Values" tag="c12430e8-70f5-423e-bd18-b3bd6376f7a8"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C157CE-FA33-46B0-9CBD-B40992D18E7B}" name="PivotTable7" cacheId="874" applyNumberFormats="0" applyBorderFormats="0" applyFontFormats="0" applyPatternFormats="0" applyAlignmentFormats="0" applyWidthHeightFormats="1" dataCaption="Values" tag="80da82d7-6378-4dc9-a111-f2f1b9344492" updatedVersion="8" minRefreshableVersion="3"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1E4C62-8FA5-4CAD-9E29-6E527EFBB716}" name="PivotTable5" cacheId="856" applyNumberFormats="0" applyBorderFormats="0" applyFontFormats="0" applyPatternFormats="0" applyAlignmentFormats="0" applyWidthHeightFormats="1" dataCaption="Values" tag="58fffbcc-d8e7-44a0-980e-637d250cff88" updatedVersion="8" minRefreshableVersion="3" subtotalHiddenItems="1" itemPrintTitles="1" createdVersion="5" indent="0" outline="1" outlineData="1" multipleFieldFilters="0" chartFormat="13">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B5F1EB-5E00-4D6F-94A0-0F313F181548}" name="PivotTable20" cacheId="889" applyNumberFormats="0" applyBorderFormats="0" applyFontFormats="0" applyPatternFormats="0" applyAlignmentFormats="0" applyWidthHeightFormats="1" dataCaption="Values" tag="80da82d7-6378-4dc9-a111-f2f1b9344492" updatedVersion="8" minRefreshableVersion="3" subtotalHiddenItems="1" itemPrintTitles="1" createdVersion="5" indent="0" outline="1" outlineData="1" multipleFieldFilters="0" chartFormat="40" rowHeaderCaption="Row Labels">
  <location ref="A97:A101"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1">
        <item x="0"/>
      </items>
    </pivotField>
  </pivotFields>
  <rowFields count="4">
    <field x="1"/>
    <field x="3"/>
    <field x="0"/>
    <field x="2"/>
  </rowFields>
  <rowItems count="4">
    <i>
      <x/>
    </i>
    <i r="1">
      <x/>
    </i>
    <i r="2">
      <x/>
    </i>
    <i t="grand">
      <x/>
    </i>
  </rowItem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25EE09-1541-4158-9012-D70F5B93FD9E}" name="PivotTable14" cacheId="886" applyNumberFormats="0" applyBorderFormats="0" applyFontFormats="0" applyPatternFormats="0" applyAlignmentFormats="0" applyWidthHeightFormats="1" dataCaption="Values" tag="80da82d7-6378-4dc9-a111-f2f1b9344492" updatedVersion="8" minRefreshableVersion="3" subtotalHiddenItems="1" itemPrintTitles="1" createdVersion="5" indent="0" outline="1" outlineData="1" multipleFieldFilters="0" chartFormat="42" rowHeaderCaption="Row Labels">
  <location ref="A85:B9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chartFormats count="1">
    <chartFormat chart="3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664C11-45ED-4DC3-8EFE-2A83CDFEEB7B}" name="PivotTable10" cacheId="877" applyNumberFormats="0" applyBorderFormats="0" applyFontFormats="0" applyPatternFormats="0" applyAlignmentFormats="0" applyWidthHeightFormats="1" dataCaption="Values" tag="80da82d7-6378-4dc9-a111-f2f1b9344492" updatedVersion="8" minRefreshableVersion="3" subtotalHiddenItems="1" itemPrintTitles="1" createdVersion="5" indent="0" outline="1" outlineData="1" multipleFieldFilters="0" chartFormat="13">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2" fld="1" subtotal="count" baseField="0" baseItem="0"/>
    <dataField name="Count of Patient Admission Flag"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6">
    <chartFormat chart="1"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0"/>
          </reference>
          <reference field="2" count="1" selected="0">
            <x v="0"/>
          </reference>
        </references>
      </pivotArea>
    </chartFormat>
    <chartFormat chart="9"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97F13F-C1F3-49D7-9191-A5DD53988748}" name="PivotTable4" cacheId="865" applyNumberFormats="0" applyBorderFormats="0" applyFontFormats="0" applyPatternFormats="0" applyAlignmentFormats="0" applyWidthHeightFormats="1" dataCaption="Values" tag="80da82d7-6378-4dc9-a111-f2f1b9344492"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4562C9-791E-4D18-8CB7-C9EF7B6DC165}" name="PivotTable8" cacheId="883" applyNumberFormats="0" applyBorderFormats="0" applyFontFormats="0" applyPatternFormats="0" applyAlignmentFormats="0" applyWidthHeightFormats="1" dataCaption="Values" tag="80da82d7-6378-4dc9-a111-f2f1b9344492" updatedVersion="8" minRefreshableVersion="3" subtotalHiddenItems="1" itemPrintTitles="1" createdVersion="5" indent="0" outline="1" outlineData="1" multipleFieldFilters="0" chartFormat="34" rowHeaderCaption="Row Labels">
  <location ref="A78:B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6BEFC0-CFC1-40A8-9EDB-543C6EA0784C}" name="PivotTable6" cacheId="871" applyNumberFormats="0" applyBorderFormats="0" applyFontFormats="0" applyPatternFormats="0" applyAlignmentFormats="0" applyWidthHeightFormats="1" dataCaption="Values" tag="d4bf9d6f-8402-4989-8757-fd3a8d858d99" updatedVersion="8" minRefreshableVersion="3" subtotalHiddenItems="1" itemPrintTitles="1" createdVersion="5" indent="0" outline="1" outlineData="1" multipleFieldFilters="0" chartFormat="70">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11">
      <pivotArea dataOnly="0" labelOnly="1" outline="0" axis="axisValues" fieldPosition="0"/>
    </format>
    <format dxfId="10">
      <pivotArea outline="0" collapsedLevelsAreSubtotals="1" fieldPosition="0"/>
    </format>
  </formats>
  <chartFormats count="3">
    <chartFormat chart="61" format="3"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9"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B694D5-19D4-442D-88D6-CAF3B31142CF}" name="PivotTable11" cacheId="880" applyNumberFormats="0" applyBorderFormats="0" applyFontFormats="0" applyPatternFormats="0" applyAlignmentFormats="0" applyWidthHeightFormats="1" dataCaption="Values" tag="80da82d7-6378-4dc9-a111-f2f1b9344492" updatedVersion="8" minRefreshableVersion="3" subtotalHiddenItems="1" itemPrintTitles="1" createdVersion="5" indent="0" outline="1" outlineData="1" multipleFieldFilters="0" chartFormat="17">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672B7E9-F8DE-4D3B-8175-49BA5C2187FC}" sourceName="[Calendar_Table].[Date (Month)]">
  <pivotTables>
    <pivotTable tabId="1" name="PivotTable5"/>
    <pivotTable tabId="1" name="PivotTable1"/>
    <pivotTable tabId="1" name="PivotTable3"/>
    <pivotTable tabId="1" name="PivotTable4"/>
    <pivotTable tabId="1" name="PivotTable2"/>
    <pivotTable tabId="1" name="PivotTable6"/>
    <pivotTable tabId="1" name="PivotTable7"/>
    <pivotTable tabId="1" name="PivotTable10"/>
    <pivotTable tabId="1" name="PivotTable11"/>
    <pivotTable tabId="1" name="PivotTable8"/>
    <pivotTable tabId="1" name="PivotTable14"/>
    <pivotTable tabId="1" name="PivotTable20"/>
    <pivotTable tabId="1" name="PivotTable12"/>
  </pivotTables>
  <data>
    <olap pivotCacheId="165161814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ED80EB1-EA70-42A1-8782-AFD4214683C4}" sourceName="[Calendar_Table].[Date (Year)]">
  <pivotTables>
    <pivotTable tabId="1" name="PivotTable20"/>
    <pivotTable tabId="1" name="PivotTable1"/>
    <pivotTable tabId="1" name="PivotTable10"/>
    <pivotTable tabId="1" name="PivotTable11"/>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12"/>
  </pivotTables>
  <data>
    <olap pivotCacheId="81954375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1CBF1AF-B1A1-4053-A199-E1015787017F}" cache="Slicer_Date__Month" caption="Date (Month)" showCaption="0" level="1" rowHeight="144000"/>
  <slicer name="Date (Year)" xr10:uid="{DED0EB25-0907-4C66-8926-4F2954EE6415}" cache="Slicer_Date__Year" caption="Date (Year)" columnCount="2" showCaption="0" level="1" rowHeight="153161"/>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FBE6-6C23-4AE7-AC2B-DA8F355D8722}">
  <dimension ref="A2:M101"/>
  <sheetViews>
    <sheetView topLeftCell="A43" zoomScale="107" workbookViewId="0">
      <selection activeCell="A50" sqref="A50:D52"/>
    </sheetView>
  </sheetViews>
  <sheetFormatPr defaultRowHeight="14.4" x14ac:dyDescent="0.3"/>
  <cols>
    <col min="1" max="3" width="15.69921875" customWidth="1"/>
    <col min="4" max="4" width="15.5" customWidth="1"/>
    <col min="5" max="5" width="22.59765625" bestFit="1" customWidth="1"/>
    <col min="9" max="9" width="14.59765625" bestFit="1" customWidth="1"/>
    <col min="10" max="10" width="22.59765625" bestFit="1" customWidth="1"/>
    <col min="12" max="12" width="24.09765625" bestFit="1" customWidth="1"/>
    <col min="13" max="13" width="23.8984375" bestFit="1" customWidth="1"/>
  </cols>
  <sheetData>
    <row r="2" spans="1:13" ht="11.7" customHeight="1" x14ac:dyDescent="0.3"/>
    <row r="3" spans="1:13" ht="13.25" customHeight="1" x14ac:dyDescent="0.3">
      <c r="A3" t="s">
        <v>1</v>
      </c>
      <c r="D3" t="s">
        <v>6</v>
      </c>
      <c r="I3" t="s">
        <v>7</v>
      </c>
      <c r="L3" t="s">
        <v>10</v>
      </c>
    </row>
    <row r="4" spans="1:13" x14ac:dyDescent="0.3">
      <c r="A4" s="1" t="s">
        <v>0</v>
      </c>
      <c r="D4" s="3" t="s">
        <v>4</v>
      </c>
      <c r="E4" s="1" t="s">
        <v>0</v>
      </c>
      <c r="H4" s="4"/>
      <c r="I4" s="3" t="s">
        <v>4</v>
      </c>
      <c r="J4" s="1" t="s">
        <v>2</v>
      </c>
      <c r="L4" s="3" t="s">
        <v>4</v>
      </c>
      <c r="M4" s="1" t="s">
        <v>3</v>
      </c>
    </row>
    <row r="5" spans="1:13" x14ac:dyDescent="0.3">
      <c r="A5" s="15">
        <v>464</v>
      </c>
      <c r="D5" s="4" t="s">
        <v>45</v>
      </c>
      <c r="E5" s="15">
        <v>17</v>
      </c>
      <c r="H5" s="4"/>
      <c r="I5" s="4" t="s">
        <v>45</v>
      </c>
      <c r="J5" s="5">
        <v>35.117647058823529</v>
      </c>
      <c r="L5" s="4" t="s">
        <v>45</v>
      </c>
      <c r="M5" s="5">
        <v>4.666666666666667</v>
      </c>
    </row>
    <row r="6" spans="1:13" x14ac:dyDescent="0.3">
      <c r="D6" s="4" t="s">
        <v>46</v>
      </c>
      <c r="E6" s="15">
        <v>12</v>
      </c>
      <c r="H6" s="4"/>
      <c r="I6" s="4" t="s">
        <v>46</v>
      </c>
      <c r="J6" s="5">
        <v>28.916666666666668</v>
      </c>
      <c r="L6" s="4" t="s">
        <v>46</v>
      </c>
      <c r="M6" s="5">
        <v>4.666666666666667</v>
      </c>
    </row>
    <row r="7" spans="1:13" x14ac:dyDescent="0.3">
      <c r="D7" s="4" t="s">
        <v>47</v>
      </c>
      <c r="E7" s="15">
        <v>14</v>
      </c>
      <c r="H7" s="4"/>
      <c r="I7" s="4" t="s">
        <v>47</v>
      </c>
      <c r="J7" s="5">
        <v>34.357142857142854</v>
      </c>
      <c r="L7" s="4" t="s">
        <v>47</v>
      </c>
      <c r="M7" s="5">
        <v>5.4</v>
      </c>
    </row>
    <row r="8" spans="1:13" x14ac:dyDescent="0.3">
      <c r="D8" s="4" t="s">
        <v>48</v>
      </c>
      <c r="E8" s="15">
        <v>17</v>
      </c>
      <c r="H8" s="4"/>
      <c r="I8" s="4" t="s">
        <v>48</v>
      </c>
      <c r="J8" s="5">
        <v>29.705882352941178</v>
      </c>
      <c r="L8" s="4" t="s">
        <v>48</v>
      </c>
      <c r="M8" s="5">
        <v>5.2</v>
      </c>
    </row>
    <row r="9" spans="1:13" x14ac:dyDescent="0.3">
      <c r="D9" s="4" t="s">
        <v>49</v>
      </c>
      <c r="E9" s="15">
        <v>17</v>
      </c>
      <c r="H9" s="4"/>
      <c r="I9" s="4" t="s">
        <v>49</v>
      </c>
      <c r="J9" s="5">
        <v>33.176470588235297</v>
      </c>
      <c r="L9" s="4" t="s">
        <v>49</v>
      </c>
      <c r="M9" s="5">
        <v>2.4285714285714284</v>
      </c>
    </row>
    <row r="10" spans="1:13" x14ac:dyDescent="0.3">
      <c r="A10" t="s">
        <v>2</v>
      </c>
      <c r="D10" s="4" t="s">
        <v>50</v>
      </c>
      <c r="E10" s="15">
        <v>16</v>
      </c>
      <c r="H10" s="4"/>
      <c r="I10" s="4" t="s">
        <v>50</v>
      </c>
      <c r="J10" s="5">
        <v>39.8125</v>
      </c>
      <c r="L10" s="4" t="s">
        <v>50</v>
      </c>
      <c r="M10" s="5">
        <v>4.8</v>
      </c>
    </row>
    <row r="11" spans="1:13" x14ac:dyDescent="0.3">
      <c r="A11" s="15">
        <v>35.185344827586206</v>
      </c>
      <c r="D11" s="4" t="s">
        <v>51</v>
      </c>
      <c r="E11" s="15">
        <v>19</v>
      </c>
      <c r="H11" s="4"/>
      <c r="I11" s="4" t="s">
        <v>51</v>
      </c>
      <c r="J11" s="5">
        <v>36.578947368421055</v>
      </c>
      <c r="L11" s="4" t="s">
        <v>51</v>
      </c>
      <c r="M11" s="5">
        <v>6.5714285714285712</v>
      </c>
    </row>
    <row r="12" spans="1:13" x14ac:dyDescent="0.3">
      <c r="D12" s="4" t="s">
        <v>52</v>
      </c>
      <c r="E12" s="15">
        <v>14</v>
      </c>
      <c r="H12" s="4"/>
      <c r="I12" s="4" t="s">
        <v>52</v>
      </c>
      <c r="J12" s="5">
        <v>34.5</v>
      </c>
      <c r="L12" s="4" t="s">
        <v>52</v>
      </c>
      <c r="M12" s="5">
        <v>3</v>
      </c>
    </row>
    <row r="13" spans="1:13" x14ac:dyDescent="0.3">
      <c r="D13" s="4" t="s">
        <v>53</v>
      </c>
      <c r="E13" s="15">
        <v>17</v>
      </c>
      <c r="H13" s="4"/>
      <c r="I13" s="4" t="s">
        <v>53</v>
      </c>
      <c r="J13" s="5">
        <v>39.764705882352942</v>
      </c>
      <c r="L13" s="4" t="s">
        <v>53</v>
      </c>
      <c r="M13" s="5">
        <v>4.5999999999999996</v>
      </c>
    </row>
    <row r="14" spans="1:13" x14ac:dyDescent="0.3">
      <c r="A14" t="s">
        <v>3</v>
      </c>
      <c r="D14" s="4" t="s">
        <v>54</v>
      </c>
      <c r="E14" s="15">
        <v>13</v>
      </c>
      <c r="H14" s="4"/>
      <c r="I14" s="4" t="s">
        <v>54</v>
      </c>
      <c r="J14" s="5">
        <v>35.230769230769234</v>
      </c>
      <c r="L14" s="4" t="s">
        <v>54</v>
      </c>
      <c r="M14" s="5">
        <v>3.875</v>
      </c>
    </row>
    <row r="15" spans="1:13" x14ac:dyDescent="0.3">
      <c r="A15" s="15">
        <v>5.0928571428571425</v>
      </c>
      <c r="D15" s="4" t="s">
        <v>55</v>
      </c>
      <c r="E15" s="15">
        <v>12</v>
      </c>
      <c r="H15" s="4"/>
      <c r="I15" s="4" t="s">
        <v>55</v>
      </c>
      <c r="J15" s="5">
        <v>41.5</v>
      </c>
      <c r="L15" s="4" t="s">
        <v>55</v>
      </c>
      <c r="M15" s="5">
        <v>7.25</v>
      </c>
    </row>
    <row r="16" spans="1:13" x14ac:dyDescent="0.3">
      <c r="D16" s="4" t="s">
        <v>56</v>
      </c>
      <c r="E16" s="15">
        <v>16</v>
      </c>
      <c r="H16" s="4"/>
      <c r="I16" s="4" t="s">
        <v>56</v>
      </c>
      <c r="J16" s="5">
        <v>38.0625</v>
      </c>
      <c r="L16" s="4" t="s">
        <v>56</v>
      </c>
      <c r="M16" s="5">
        <v>3</v>
      </c>
    </row>
    <row r="17" spans="1:13" x14ac:dyDescent="0.3">
      <c r="D17" s="4" t="s">
        <v>57</v>
      </c>
      <c r="E17" s="15">
        <v>9</v>
      </c>
      <c r="H17" s="4"/>
      <c r="I17" s="4" t="s">
        <v>57</v>
      </c>
      <c r="J17" s="5">
        <v>29.222222222222221</v>
      </c>
      <c r="L17" s="4" t="s">
        <v>57</v>
      </c>
      <c r="M17" s="5">
        <v>8</v>
      </c>
    </row>
    <row r="18" spans="1:13" x14ac:dyDescent="0.3">
      <c r="D18" s="4" t="s">
        <v>58</v>
      </c>
      <c r="E18" s="15">
        <v>17</v>
      </c>
      <c r="H18" s="4"/>
      <c r="I18" s="4" t="s">
        <v>58</v>
      </c>
      <c r="J18" s="5">
        <v>31</v>
      </c>
      <c r="L18" s="4" t="s">
        <v>58</v>
      </c>
      <c r="M18" s="5">
        <v>6</v>
      </c>
    </row>
    <row r="19" spans="1:13" x14ac:dyDescent="0.3">
      <c r="A19" t="s">
        <v>3</v>
      </c>
      <c r="D19" s="4" t="s">
        <v>59</v>
      </c>
      <c r="E19" s="15">
        <v>16</v>
      </c>
      <c r="H19" s="4"/>
      <c r="I19" s="4" t="s">
        <v>59</v>
      </c>
      <c r="J19" s="5">
        <v>37.3125</v>
      </c>
      <c r="L19" s="4" t="s">
        <v>59</v>
      </c>
      <c r="M19" s="5">
        <v>3.6666666666666665</v>
      </c>
    </row>
    <row r="20" spans="1:13" x14ac:dyDescent="0.3">
      <c r="A20" s="15">
        <v>5.0928571428571425</v>
      </c>
      <c r="D20" s="4" t="s">
        <v>60</v>
      </c>
      <c r="E20" s="15">
        <v>17</v>
      </c>
      <c r="H20" s="4"/>
      <c r="I20" s="4" t="s">
        <v>60</v>
      </c>
      <c r="J20" s="5">
        <v>35.647058823529413</v>
      </c>
      <c r="L20" s="4" t="s">
        <v>60</v>
      </c>
      <c r="M20" s="5">
        <v>5.333333333333333</v>
      </c>
    </row>
    <row r="21" spans="1:13" x14ac:dyDescent="0.3">
      <c r="D21" s="4" t="s">
        <v>61</v>
      </c>
      <c r="E21" s="15">
        <v>21</v>
      </c>
      <c r="H21" s="4"/>
      <c r="I21" s="4" t="s">
        <v>61</v>
      </c>
      <c r="J21" s="5">
        <v>36.476190476190474</v>
      </c>
      <c r="L21" s="4" t="s">
        <v>61</v>
      </c>
      <c r="M21" s="5">
        <v>6.1111111111111107</v>
      </c>
    </row>
    <row r="22" spans="1:13" x14ac:dyDescent="0.3">
      <c r="D22" s="4" t="s">
        <v>62</v>
      </c>
      <c r="E22" s="15">
        <v>15</v>
      </c>
      <c r="H22" s="4"/>
      <c r="I22" s="4" t="s">
        <v>62</v>
      </c>
      <c r="J22" s="5">
        <v>40.799999999999997</v>
      </c>
      <c r="L22" s="4" t="s">
        <v>62</v>
      </c>
      <c r="M22" s="5">
        <v>6.5</v>
      </c>
    </row>
    <row r="23" spans="1:13" x14ac:dyDescent="0.3">
      <c r="D23" s="4" t="s">
        <v>63</v>
      </c>
      <c r="E23" s="15">
        <v>22</v>
      </c>
      <c r="H23" s="4"/>
      <c r="I23" s="4" t="s">
        <v>63</v>
      </c>
      <c r="J23" s="5">
        <v>30.318181818181817</v>
      </c>
      <c r="L23" s="4" t="s">
        <v>63</v>
      </c>
      <c r="M23" s="5">
        <v>5</v>
      </c>
    </row>
    <row r="24" spans="1:13" x14ac:dyDescent="0.3">
      <c r="D24" s="4" t="s">
        <v>64</v>
      </c>
      <c r="E24" s="15">
        <v>14</v>
      </c>
      <c r="H24" s="4"/>
      <c r="I24" s="4" t="s">
        <v>64</v>
      </c>
      <c r="J24" s="5">
        <v>35.714285714285715</v>
      </c>
      <c r="L24" s="4" t="s">
        <v>64</v>
      </c>
      <c r="M24" s="5">
        <v>5.8</v>
      </c>
    </row>
    <row r="25" spans="1:13" x14ac:dyDescent="0.3">
      <c r="D25" s="4" t="s">
        <v>65</v>
      </c>
      <c r="E25" s="15">
        <v>13</v>
      </c>
      <c r="H25" s="4"/>
      <c r="I25" s="4" t="s">
        <v>65</v>
      </c>
      <c r="J25" s="5">
        <v>33.53846153846154</v>
      </c>
      <c r="L25" s="4" t="s">
        <v>65</v>
      </c>
      <c r="M25" s="5">
        <v>6</v>
      </c>
    </row>
    <row r="26" spans="1:13" x14ac:dyDescent="0.3">
      <c r="D26" s="4" t="s">
        <v>66</v>
      </c>
      <c r="E26" s="15">
        <v>10</v>
      </c>
      <c r="H26" s="4"/>
      <c r="I26" s="4" t="s">
        <v>66</v>
      </c>
      <c r="J26" s="5">
        <v>37.5</v>
      </c>
      <c r="L26" s="4" t="s">
        <v>66</v>
      </c>
      <c r="M26" s="5">
        <v>8</v>
      </c>
    </row>
    <row r="27" spans="1:13" x14ac:dyDescent="0.3">
      <c r="D27" s="4" t="s">
        <v>67</v>
      </c>
      <c r="E27" s="15">
        <v>17</v>
      </c>
      <c r="I27" s="4" t="s">
        <v>67</v>
      </c>
      <c r="J27" s="5">
        <v>38.058823529411768</v>
      </c>
      <c r="L27" s="4" t="s">
        <v>67</v>
      </c>
      <c r="M27" s="5">
        <v>7</v>
      </c>
    </row>
    <row r="28" spans="1:13" x14ac:dyDescent="0.3">
      <c r="D28" s="4" t="s">
        <v>68</v>
      </c>
      <c r="E28" s="15">
        <v>17</v>
      </c>
      <c r="I28" s="4" t="s">
        <v>68</v>
      </c>
      <c r="J28" s="5">
        <v>28.117647058823529</v>
      </c>
      <c r="L28" s="4" t="s">
        <v>68</v>
      </c>
      <c r="M28" s="5">
        <v>3.75</v>
      </c>
    </row>
    <row r="29" spans="1:13" x14ac:dyDescent="0.3">
      <c r="D29" s="4" t="s">
        <v>69</v>
      </c>
      <c r="E29" s="15">
        <v>13</v>
      </c>
      <c r="I29" s="4" t="s">
        <v>69</v>
      </c>
      <c r="J29" s="5">
        <v>31.846153846153847</v>
      </c>
      <c r="L29" s="4" t="s">
        <v>69</v>
      </c>
      <c r="M29" s="5">
        <v>1</v>
      </c>
    </row>
    <row r="30" spans="1:13" x14ac:dyDescent="0.3">
      <c r="D30" s="4" t="s">
        <v>70</v>
      </c>
      <c r="E30" s="15">
        <v>11</v>
      </c>
      <c r="I30" s="4" t="s">
        <v>70</v>
      </c>
      <c r="J30" s="5">
        <v>43.636363636363633</v>
      </c>
      <c r="L30" s="4" t="s">
        <v>70</v>
      </c>
      <c r="M30" s="5">
        <v>9</v>
      </c>
    </row>
    <row r="31" spans="1:13" x14ac:dyDescent="0.3">
      <c r="D31" s="4" t="s">
        <v>71</v>
      </c>
      <c r="E31" s="15">
        <v>19</v>
      </c>
      <c r="I31" s="4" t="s">
        <v>71</v>
      </c>
      <c r="J31" s="5">
        <v>38.842105263157897</v>
      </c>
      <c r="L31" s="4" t="s">
        <v>71</v>
      </c>
      <c r="M31" s="5">
        <v>5.8</v>
      </c>
    </row>
    <row r="32" spans="1:13" x14ac:dyDescent="0.3">
      <c r="D32" s="4" t="s">
        <v>72</v>
      </c>
      <c r="E32" s="15">
        <v>16</v>
      </c>
      <c r="I32" s="4" t="s">
        <v>72</v>
      </c>
      <c r="J32" s="5">
        <v>29.5625</v>
      </c>
      <c r="L32" s="4" t="s">
        <v>72</v>
      </c>
      <c r="M32" s="5">
        <v>4</v>
      </c>
    </row>
    <row r="33" spans="1:13" x14ac:dyDescent="0.3">
      <c r="D33" s="4" t="s">
        <v>73</v>
      </c>
      <c r="E33" s="15">
        <v>15</v>
      </c>
      <c r="I33" s="4" t="s">
        <v>73</v>
      </c>
      <c r="J33" s="5">
        <v>37.466666666666669</v>
      </c>
      <c r="L33" s="4" t="s">
        <v>73</v>
      </c>
      <c r="M33" s="5">
        <v>6.4</v>
      </c>
    </row>
    <row r="34" spans="1:13" x14ac:dyDescent="0.3">
      <c r="D34" s="4" t="s">
        <v>74</v>
      </c>
      <c r="E34" s="15">
        <v>18</v>
      </c>
      <c r="I34" s="4" t="s">
        <v>74</v>
      </c>
      <c r="J34" s="5">
        <v>35.277777777777779</v>
      </c>
      <c r="L34" s="4" t="s">
        <v>74</v>
      </c>
      <c r="M34" s="5">
        <v>5</v>
      </c>
    </row>
    <row r="35" spans="1:13" x14ac:dyDescent="0.3">
      <c r="D35" s="4" t="s">
        <v>5</v>
      </c>
      <c r="E35" s="15">
        <v>464</v>
      </c>
      <c r="I35" s="4" t="s">
        <v>5</v>
      </c>
      <c r="J35" s="5">
        <v>35.185344827586206</v>
      </c>
      <c r="L35" s="4" t="s">
        <v>5</v>
      </c>
      <c r="M35" s="5">
        <v>5.0928571428571425</v>
      </c>
    </row>
    <row r="41" spans="1:13" x14ac:dyDescent="0.3">
      <c r="A41" s="3" t="s">
        <v>4</v>
      </c>
      <c r="B41" t="s">
        <v>15</v>
      </c>
      <c r="C41" t="s">
        <v>12</v>
      </c>
    </row>
    <row r="42" spans="1:13" x14ac:dyDescent="0.3">
      <c r="A42" s="4" t="s">
        <v>13</v>
      </c>
      <c r="B42" s="15">
        <v>231</v>
      </c>
      <c r="C42" s="8">
        <v>0.49784482758620691</v>
      </c>
    </row>
    <row r="43" spans="1:13" x14ac:dyDescent="0.3">
      <c r="A43" s="4" t="s">
        <v>14</v>
      </c>
      <c r="B43" s="15">
        <v>233</v>
      </c>
      <c r="C43" s="8">
        <v>0.50215517241379315</v>
      </c>
    </row>
    <row r="44" spans="1:13" x14ac:dyDescent="0.3">
      <c r="A44" s="4" t="s">
        <v>5</v>
      </c>
      <c r="B44" s="15">
        <v>464</v>
      </c>
      <c r="C44" s="8">
        <v>1</v>
      </c>
    </row>
    <row r="50" spans="1:4" x14ac:dyDescent="0.3">
      <c r="A50" s="12" t="s">
        <v>16</v>
      </c>
      <c r="B50" s="12" t="s">
        <v>17</v>
      </c>
      <c r="C50" s="12" t="s">
        <v>18</v>
      </c>
      <c r="D50" s="9"/>
    </row>
    <row r="51" spans="1:4" x14ac:dyDescent="0.3">
      <c r="A51" s="10" t="str">
        <f>A43</f>
        <v>Not admitted</v>
      </c>
      <c r="B51" s="10">
        <f>B43</f>
        <v>233</v>
      </c>
      <c r="C51" s="11">
        <f>C43</f>
        <v>0.50215517241379315</v>
      </c>
      <c r="D51" s="10"/>
    </row>
    <row r="52" spans="1:4" x14ac:dyDescent="0.3">
      <c r="A52" s="10" t="str">
        <f>A42</f>
        <v>Admitted</v>
      </c>
      <c r="B52" s="10">
        <f>B42</f>
        <v>231</v>
      </c>
      <c r="C52" s="11">
        <f>C42</f>
        <v>0.49784482758620691</v>
      </c>
      <c r="D52" s="10"/>
    </row>
    <row r="56" spans="1:4" x14ac:dyDescent="0.3">
      <c r="A56" t="s">
        <v>28</v>
      </c>
    </row>
    <row r="57" spans="1:4" x14ac:dyDescent="0.3">
      <c r="A57" s="3" t="s">
        <v>4</v>
      </c>
      <c r="B57" t="s">
        <v>27</v>
      </c>
    </row>
    <row r="58" spans="1:4" x14ac:dyDescent="0.3">
      <c r="A58" s="4" t="s">
        <v>19</v>
      </c>
      <c r="B58" s="15">
        <v>63</v>
      </c>
    </row>
    <row r="59" spans="1:4" x14ac:dyDescent="0.3">
      <c r="A59" s="4" t="s">
        <v>20</v>
      </c>
      <c r="B59" s="15">
        <v>65</v>
      </c>
    </row>
    <row r="60" spans="1:4" x14ac:dyDescent="0.3">
      <c r="A60" s="4" t="s">
        <v>21</v>
      </c>
      <c r="B60" s="15">
        <v>49</v>
      </c>
    </row>
    <row r="61" spans="1:4" x14ac:dyDescent="0.3">
      <c r="A61" s="4" t="s">
        <v>22</v>
      </c>
      <c r="B61" s="15">
        <v>61</v>
      </c>
    </row>
    <row r="62" spans="1:4" x14ac:dyDescent="0.3">
      <c r="A62" s="4" t="s">
        <v>23</v>
      </c>
      <c r="B62" s="15">
        <v>56</v>
      </c>
    </row>
    <row r="63" spans="1:4" x14ac:dyDescent="0.3">
      <c r="A63" s="4" t="s">
        <v>24</v>
      </c>
      <c r="B63" s="15">
        <v>61</v>
      </c>
    </row>
    <row r="64" spans="1:4" x14ac:dyDescent="0.3">
      <c r="A64" s="4" t="s">
        <v>25</v>
      </c>
      <c r="B64" s="15">
        <v>62</v>
      </c>
    </row>
    <row r="65" spans="1:2" x14ac:dyDescent="0.3">
      <c r="A65" s="4" t="s">
        <v>26</v>
      </c>
      <c r="B65" s="15">
        <v>47</v>
      </c>
    </row>
    <row r="66" spans="1:2" x14ac:dyDescent="0.3">
      <c r="A66" s="4" t="s">
        <v>5</v>
      </c>
      <c r="B66" s="15">
        <v>464</v>
      </c>
    </row>
    <row r="70" spans="1:2" x14ac:dyDescent="0.3">
      <c r="A70" s="3" t="s">
        <v>4</v>
      </c>
      <c r="B70" t="s">
        <v>29</v>
      </c>
    </row>
    <row r="71" spans="1:2" x14ac:dyDescent="0.3">
      <c r="A71" s="4" t="s">
        <v>75</v>
      </c>
      <c r="B71" s="15">
        <v>267</v>
      </c>
    </row>
    <row r="72" spans="1:2" x14ac:dyDescent="0.3">
      <c r="A72" s="4" t="s">
        <v>76</v>
      </c>
      <c r="B72" s="15">
        <v>197</v>
      </c>
    </row>
    <row r="73" spans="1:2" x14ac:dyDescent="0.3">
      <c r="A73" s="4" t="s">
        <v>5</v>
      </c>
      <c r="B73" s="15">
        <v>464</v>
      </c>
    </row>
    <row r="78" spans="1:2" x14ac:dyDescent="0.3">
      <c r="A78" s="3" t="s">
        <v>4</v>
      </c>
      <c r="B78" t="s">
        <v>32</v>
      </c>
    </row>
    <row r="79" spans="1:2" x14ac:dyDescent="0.3">
      <c r="A79" s="4" t="s">
        <v>30</v>
      </c>
      <c r="B79" s="15">
        <v>227</v>
      </c>
    </row>
    <row r="80" spans="1:2" x14ac:dyDescent="0.3">
      <c r="A80" s="4" t="s">
        <v>31</v>
      </c>
      <c r="B80" s="15">
        <v>237</v>
      </c>
    </row>
    <row r="81" spans="1:2" x14ac:dyDescent="0.3">
      <c r="A81" s="4" t="s">
        <v>5</v>
      </c>
      <c r="B81" s="15">
        <v>464</v>
      </c>
    </row>
    <row r="85" spans="1:2" x14ac:dyDescent="0.3">
      <c r="A85" s="3" t="s">
        <v>4</v>
      </c>
      <c r="B85" t="s">
        <v>41</v>
      </c>
    </row>
    <row r="86" spans="1:2" x14ac:dyDescent="0.3">
      <c r="A86" s="4" t="s">
        <v>40</v>
      </c>
      <c r="B86" s="15">
        <v>2</v>
      </c>
    </row>
    <row r="87" spans="1:2" x14ac:dyDescent="0.3">
      <c r="A87" s="4" t="s">
        <v>36</v>
      </c>
      <c r="B87" s="15">
        <v>6</v>
      </c>
    </row>
    <row r="88" spans="1:2" x14ac:dyDescent="0.3">
      <c r="A88" s="4" t="s">
        <v>33</v>
      </c>
      <c r="B88" s="15">
        <v>13</v>
      </c>
    </row>
    <row r="89" spans="1:2" x14ac:dyDescent="0.3">
      <c r="A89" s="4" t="s">
        <v>34</v>
      </c>
      <c r="B89" s="15">
        <v>14</v>
      </c>
    </row>
    <row r="90" spans="1:2" x14ac:dyDescent="0.3">
      <c r="A90" s="4" t="s">
        <v>39</v>
      </c>
      <c r="B90" s="15">
        <v>19</v>
      </c>
    </row>
    <row r="91" spans="1:2" x14ac:dyDescent="0.3">
      <c r="A91" s="4" t="s">
        <v>38</v>
      </c>
      <c r="B91" s="15">
        <v>67</v>
      </c>
    </row>
    <row r="92" spans="1:2" x14ac:dyDescent="0.3">
      <c r="A92" s="4" t="s">
        <v>35</v>
      </c>
      <c r="B92" s="15">
        <v>91</v>
      </c>
    </row>
    <row r="93" spans="1:2" x14ac:dyDescent="0.3">
      <c r="A93" s="4" t="s">
        <v>37</v>
      </c>
      <c r="B93" s="15">
        <v>252</v>
      </c>
    </row>
    <row r="94" spans="1:2" x14ac:dyDescent="0.3">
      <c r="A94" s="4" t="s">
        <v>5</v>
      </c>
      <c r="B94" s="15">
        <v>464</v>
      </c>
    </row>
    <row r="97" spans="1:1" x14ac:dyDescent="0.3">
      <c r="A97" s="3" t="s">
        <v>4</v>
      </c>
    </row>
    <row r="98" spans="1:1" x14ac:dyDescent="0.3">
      <c r="A98" s="4" t="s">
        <v>44</v>
      </c>
    </row>
    <row r="99" spans="1:1" x14ac:dyDescent="0.3">
      <c r="A99" s="14" t="s">
        <v>42</v>
      </c>
    </row>
    <row r="100" spans="1:1" x14ac:dyDescent="0.3">
      <c r="A100" s="16" t="s">
        <v>43</v>
      </c>
    </row>
    <row r="101" spans="1:1" x14ac:dyDescent="0.3">
      <c r="A101" s="4" t="s">
        <v>5</v>
      </c>
    </row>
  </sheetData>
  <customSheetViews>
    <customSheetView guid="{1BC8C909-2CA7-4A69-9B40-FF0C6C3F6B53}" topLeftCell="A39">
      <selection activeCell="A50" sqref="A50:D52"/>
      <pageMargins left="0.7" right="0.7" top="0.75" bottom="0.75" header="0.3" footer="0.3"/>
    </customSheetView>
  </customSheetViews>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BE03A-DC1A-4CEE-B230-E0C964F9045F}">
  <dimension ref="A1:V30"/>
  <sheetViews>
    <sheetView tabSelected="1" zoomScale="150" zoomScaleNormal="150" workbookViewId="0">
      <selection activeCell="H19" sqref="H19"/>
    </sheetView>
  </sheetViews>
  <sheetFormatPr defaultRowHeight="14.4" x14ac:dyDescent="0.3"/>
  <cols>
    <col min="5" max="5" width="8.59765625" customWidth="1"/>
  </cols>
  <sheetData>
    <row r="1" spans="1:22" x14ac:dyDescent="0.3">
      <c r="A1" s="2"/>
      <c r="B1" s="2"/>
      <c r="C1" s="2"/>
      <c r="D1" s="2"/>
      <c r="E1" s="2"/>
      <c r="F1" s="2"/>
      <c r="G1" s="2"/>
      <c r="H1" s="2"/>
      <c r="I1" s="2"/>
      <c r="J1" s="2"/>
      <c r="K1" s="2"/>
      <c r="L1" s="2"/>
      <c r="M1" s="2"/>
      <c r="N1" s="2"/>
      <c r="O1" s="2"/>
      <c r="P1" s="2"/>
      <c r="Q1" s="2"/>
      <c r="R1" s="2"/>
      <c r="S1" s="2"/>
      <c r="T1" s="2"/>
      <c r="U1" s="2"/>
      <c r="V1" s="2"/>
    </row>
    <row r="2" spans="1:22" x14ac:dyDescent="0.3">
      <c r="A2" s="2"/>
      <c r="B2" s="2"/>
      <c r="C2" s="2"/>
      <c r="D2" s="2"/>
      <c r="E2" s="2"/>
      <c r="F2" s="2"/>
      <c r="G2" s="2"/>
      <c r="H2" s="2"/>
      <c r="I2" s="2"/>
      <c r="J2" s="2"/>
      <c r="K2" s="2"/>
      <c r="L2" s="2"/>
      <c r="M2" s="2"/>
      <c r="N2" s="2"/>
      <c r="O2" s="2"/>
      <c r="P2" s="2"/>
      <c r="Q2" s="2"/>
      <c r="R2" s="2"/>
      <c r="S2" s="2"/>
      <c r="T2" s="2"/>
      <c r="U2" s="2"/>
      <c r="V2" s="2"/>
    </row>
    <row r="3" spans="1:22" x14ac:dyDescent="0.3">
      <c r="A3" s="2"/>
      <c r="B3" s="2"/>
      <c r="C3" s="2"/>
      <c r="D3" s="2"/>
      <c r="E3" s="2"/>
      <c r="F3" s="2"/>
      <c r="G3" s="2"/>
      <c r="H3" s="2"/>
      <c r="I3" s="2"/>
      <c r="J3" s="2"/>
      <c r="K3" s="2"/>
      <c r="L3" s="2"/>
      <c r="M3" s="2"/>
      <c r="N3" s="2"/>
      <c r="O3" s="2"/>
      <c r="P3" s="2"/>
      <c r="Q3" s="2"/>
      <c r="R3" s="2"/>
      <c r="S3" s="2"/>
      <c r="T3" s="2"/>
      <c r="U3" s="2"/>
      <c r="V3" s="2"/>
    </row>
    <row r="4" spans="1:22" x14ac:dyDescent="0.3">
      <c r="A4" s="2"/>
      <c r="B4" s="2"/>
      <c r="C4" s="2"/>
      <c r="D4" s="2"/>
      <c r="E4" s="2"/>
      <c r="F4" s="2"/>
      <c r="G4" s="2"/>
      <c r="H4" s="2"/>
      <c r="I4" s="2"/>
      <c r="J4" s="2"/>
      <c r="K4" s="2"/>
      <c r="L4" s="2"/>
      <c r="M4" s="2"/>
      <c r="N4" s="2"/>
      <c r="O4" s="2"/>
      <c r="P4" s="2"/>
      <c r="Q4" s="2"/>
      <c r="R4" s="2"/>
      <c r="S4" s="2"/>
      <c r="T4" s="2"/>
      <c r="U4" s="2"/>
      <c r="V4" s="2"/>
    </row>
    <row r="5" spans="1:22" x14ac:dyDescent="0.3">
      <c r="A5" s="2"/>
      <c r="B5" s="2"/>
      <c r="C5" s="2"/>
      <c r="D5" s="2"/>
      <c r="E5" s="2"/>
      <c r="F5" s="2"/>
      <c r="G5" s="2"/>
      <c r="H5" s="2"/>
      <c r="I5" s="2"/>
      <c r="J5" s="2"/>
      <c r="K5" s="2"/>
      <c r="L5" s="2"/>
      <c r="M5" s="2"/>
      <c r="N5" s="2"/>
      <c r="O5" s="2"/>
      <c r="P5" s="2"/>
      <c r="Q5" s="2"/>
      <c r="R5" s="2"/>
      <c r="S5" s="2"/>
      <c r="T5" s="2"/>
      <c r="U5" s="2"/>
      <c r="V5" s="2"/>
    </row>
    <row r="6" spans="1:22" x14ac:dyDescent="0.3">
      <c r="A6" s="2"/>
      <c r="B6" s="2"/>
      <c r="C6" s="2"/>
      <c r="D6" s="2"/>
      <c r="E6" s="2"/>
      <c r="F6" s="2"/>
      <c r="G6" s="2"/>
      <c r="H6" s="2"/>
      <c r="I6" s="2"/>
      <c r="J6" s="2"/>
      <c r="K6" s="2"/>
      <c r="L6" s="2"/>
      <c r="M6" s="2"/>
      <c r="N6" s="2"/>
      <c r="O6" s="2"/>
      <c r="P6" s="2"/>
      <c r="Q6" s="2"/>
      <c r="R6" s="2"/>
      <c r="S6" s="2"/>
      <c r="T6" s="2"/>
      <c r="U6" s="2"/>
      <c r="V6" s="2"/>
    </row>
    <row r="7" spans="1:22" x14ac:dyDescent="0.3">
      <c r="A7" s="2"/>
      <c r="B7" s="2"/>
      <c r="C7" s="2"/>
      <c r="D7" s="2"/>
      <c r="E7" s="2"/>
      <c r="F7" s="2"/>
      <c r="G7" s="2"/>
      <c r="H7" s="2"/>
      <c r="I7" s="2"/>
      <c r="J7" s="2"/>
      <c r="K7" s="2"/>
      <c r="L7" s="2"/>
      <c r="M7" s="2"/>
      <c r="N7" s="2"/>
      <c r="O7" s="2"/>
      <c r="P7" s="2"/>
      <c r="Q7" s="2"/>
      <c r="R7" s="2"/>
      <c r="S7" s="2"/>
      <c r="T7" s="2"/>
      <c r="U7" s="2"/>
      <c r="V7" s="2"/>
    </row>
    <row r="8" spans="1:22" x14ac:dyDescent="0.3">
      <c r="A8" s="2"/>
      <c r="B8" s="2"/>
      <c r="C8" s="2"/>
      <c r="D8" s="2"/>
      <c r="E8" s="2"/>
      <c r="F8" s="2"/>
      <c r="G8" s="2"/>
      <c r="H8" s="2"/>
      <c r="I8" s="2"/>
      <c r="J8" s="2"/>
      <c r="K8" s="2"/>
      <c r="L8" s="2"/>
      <c r="M8" s="2"/>
      <c r="N8" s="2"/>
      <c r="O8" s="2"/>
      <c r="P8" s="2"/>
      <c r="Q8" s="2"/>
      <c r="R8" s="2"/>
      <c r="S8" s="2"/>
      <c r="T8" s="2"/>
      <c r="U8" s="2"/>
      <c r="V8" s="2"/>
    </row>
    <row r="9" spans="1:22" x14ac:dyDescent="0.3">
      <c r="A9" s="2"/>
      <c r="B9" s="2"/>
      <c r="C9" s="2"/>
      <c r="D9" s="2"/>
      <c r="E9" s="2"/>
      <c r="F9" s="2"/>
      <c r="G9" s="2"/>
      <c r="H9" s="2"/>
      <c r="I9" s="2"/>
      <c r="J9" s="2"/>
      <c r="K9" s="2"/>
      <c r="L9" s="2"/>
      <c r="M9" s="2"/>
      <c r="N9" s="2"/>
      <c r="O9" s="2"/>
      <c r="P9" s="2"/>
      <c r="Q9" s="2"/>
      <c r="R9" s="2"/>
      <c r="S9" s="2"/>
      <c r="T9" s="2"/>
      <c r="U9" s="2"/>
      <c r="V9" s="2"/>
    </row>
    <row r="10" spans="1:22" x14ac:dyDescent="0.3">
      <c r="A10" s="2"/>
      <c r="B10" s="2"/>
      <c r="C10" s="2"/>
      <c r="D10" s="2"/>
      <c r="E10" s="2"/>
      <c r="F10" s="2"/>
      <c r="G10" s="2"/>
      <c r="H10" s="2"/>
      <c r="I10" s="2"/>
      <c r="J10" s="2"/>
      <c r="K10" s="2"/>
      <c r="L10" s="2"/>
      <c r="M10" s="2"/>
      <c r="N10" s="2"/>
      <c r="O10" s="2"/>
      <c r="P10" s="2"/>
      <c r="Q10" s="2"/>
      <c r="R10" s="2"/>
      <c r="S10" s="2"/>
      <c r="T10" s="2"/>
      <c r="U10" s="2"/>
      <c r="V10" s="2"/>
    </row>
    <row r="11" spans="1:22" x14ac:dyDescent="0.3">
      <c r="A11" s="2"/>
      <c r="B11" s="2"/>
      <c r="C11" s="2"/>
      <c r="D11" s="2"/>
      <c r="E11" s="2"/>
      <c r="F11" s="2"/>
      <c r="G11" s="2"/>
      <c r="H11" s="2"/>
      <c r="I11" s="2"/>
      <c r="J11" s="2"/>
      <c r="K11" s="2"/>
      <c r="L11" s="2"/>
      <c r="M11" s="2"/>
      <c r="N11" s="2"/>
      <c r="O11" s="2"/>
      <c r="P11" s="2"/>
      <c r="Q11" s="2"/>
      <c r="R11" s="2"/>
      <c r="S11" s="2"/>
      <c r="T11" s="2"/>
      <c r="U11" s="2"/>
      <c r="V11" s="2"/>
    </row>
    <row r="12" spans="1:22" x14ac:dyDescent="0.3">
      <c r="A12" s="2"/>
      <c r="B12" s="2"/>
      <c r="C12" s="2"/>
      <c r="D12" s="2"/>
      <c r="E12" s="2"/>
      <c r="F12" s="2"/>
      <c r="G12" s="2"/>
      <c r="H12" s="2"/>
      <c r="I12" s="2"/>
      <c r="J12" s="2"/>
      <c r="K12" s="2"/>
      <c r="L12" s="2"/>
      <c r="M12" s="2"/>
      <c r="N12" s="2"/>
      <c r="O12" s="2"/>
      <c r="P12" s="2"/>
      <c r="Q12" s="2"/>
      <c r="R12" s="2"/>
      <c r="S12" s="2"/>
      <c r="T12" s="2"/>
      <c r="U12" s="2"/>
      <c r="V12" s="2"/>
    </row>
    <row r="13" spans="1:22" x14ac:dyDescent="0.3">
      <c r="A13" s="2"/>
      <c r="B13" s="2"/>
      <c r="C13" s="2"/>
      <c r="D13" s="2"/>
      <c r="E13" s="2"/>
      <c r="F13" s="2"/>
      <c r="G13" s="2"/>
      <c r="H13" s="2"/>
      <c r="I13" s="2"/>
      <c r="J13" s="2"/>
      <c r="K13" s="2"/>
      <c r="L13" s="2"/>
      <c r="M13" s="2"/>
      <c r="N13" s="2"/>
      <c r="O13" s="2"/>
      <c r="P13" s="2"/>
      <c r="Q13" s="2"/>
      <c r="R13" s="2"/>
      <c r="S13" s="2"/>
      <c r="T13" s="2"/>
      <c r="U13" s="2"/>
      <c r="V13" s="2"/>
    </row>
    <row r="14" spans="1:22" x14ac:dyDescent="0.3">
      <c r="A14" s="2"/>
      <c r="B14" s="2"/>
      <c r="C14" s="2"/>
      <c r="D14" s="2"/>
      <c r="E14" s="2"/>
      <c r="F14" s="2"/>
      <c r="G14" s="2"/>
      <c r="H14" s="2"/>
      <c r="I14" s="2"/>
      <c r="J14" s="2"/>
      <c r="K14" s="2"/>
      <c r="L14" s="2"/>
      <c r="M14" s="2"/>
      <c r="N14" s="2"/>
      <c r="O14" s="2"/>
      <c r="P14" s="2"/>
      <c r="Q14" s="2"/>
      <c r="R14" s="2"/>
      <c r="S14" s="2"/>
      <c r="T14" s="2"/>
      <c r="U14" s="2"/>
      <c r="V14" s="2"/>
    </row>
    <row r="15" spans="1:22" x14ac:dyDescent="0.3">
      <c r="A15" s="2"/>
      <c r="B15" s="2"/>
      <c r="C15" s="2"/>
      <c r="D15" s="2"/>
      <c r="E15" s="2"/>
      <c r="F15" s="2"/>
      <c r="G15" s="2"/>
      <c r="H15" s="2"/>
      <c r="I15" s="2"/>
      <c r="J15" s="2"/>
      <c r="K15" s="2"/>
      <c r="L15" s="2"/>
      <c r="M15" s="2"/>
      <c r="N15" s="2"/>
      <c r="O15" s="2"/>
      <c r="P15" s="2"/>
      <c r="Q15" s="2"/>
      <c r="R15" s="2"/>
      <c r="S15" s="2"/>
      <c r="T15" s="2"/>
      <c r="U15" s="2"/>
      <c r="V15" s="2"/>
    </row>
    <row r="16" spans="1:22" x14ac:dyDescent="0.3">
      <c r="A16" s="2"/>
      <c r="B16" s="2"/>
      <c r="C16" s="2"/>
      <c r="D16" s="2"/>
      <c r="E16" s="2"/>
      <c r="F16" s="2"/>
      <c r="G16" s="2"/>
      <c r="H16" s="2"/>
      <c r="I16" s="2"/>
      <c r="J16" s="2"/>
      <c r="K16" s="2"/>
      <c r="L16" s="2"/>
      <c r="M16" s="2"/>
      <c r="N16" s="2"/>
      <c r="O16" s="2"/>
      <c r="P16" s="2"/>
      <c r="Q16" s="2"/>
      <c r="R16" s="2"/>
      <c r="S16" s="2"/>
      <c r="T16" s="2"/>
      <c r="U16" s="2"/>
      <c r="V16" s="2"/>
    </row>
    <row r="17" spans="1:22" x14ac:dyDescent="0.3">
      <c r="A17" s="2"/>
      <c r="B17" s="2"/>
      <c r="C17" s="2"/>
      <c r="D17" s="2"/>
      <c r="E17" s="2"/>
      <c r="F17" s="2"/>
      <c r="G17" s="2"/>
      <c r="H17" s="2"/>
      <c r="I17" s="2"/>
      <c r="J17" s="2"/>
      <c r="K17" s="2"/>
      <c r="L17" s="2"/>
      <c r="M17" s="2"/>
      <c r="N17" s="2"/>
      <c r="O17" s="2"/>
      <c r="P17" s="2"/>
      <c r="Q17" s="2"/>
      <c r="R17" s="2"/>
      <c r="S17" s="2"/>
      <c r="T17" s="2"/>
      <c r="U17" s="2"/>
      <c r="V17" s="2"/>
    </row>
    <row r="18" spans="1:22" x14ac:dyDescent="0.3">
      <c r="A18" s="2"/>
      <c r="B18" s="2"/>
      <c r="C18" s="2"/>
      <c r="D18" s="2"/>
      <c r="E18" s="2"/>
      <c r="F18" s="2"/>
      <c r="G18" s="2"/>
      <c r="H18" s="2"/>
      <c r="I18" s="2"/>
      <c r="J18" s="2"/>
      <c r="K18" s="2"/>
      <c r="L18" s="2"/>
      <c r="M18" s="2"/>
      <c r="N18" s="2"/>
      <c r="O18" s="2"/>
      <c r="P18" s="2"/>
      <c r="Q18" s="2"/>
      <c r="R18" s="2"/>
      <c r="S18" s="2"/>
      <c r="T18" s="2"/>
      <c r="U18" s="2"/>
      <c r="V18" s="2"/>
    </row>
    <row r="19" spans="1:22" x14ac:dyDescent="0.3">
      <c r="A19" s="2"/>
      <c r="B19" s="2"/>
      <c r="C19" s="2"/>
      <c r="D19" s="2"/>
      <c r="E19" s="2"/>
      <c r="F19" s="2"/>
      <c r="G19" s="2"/>
      <c r="H19" s="2"/>
      <c r="I19" s="2"/>
      <c r="J19" s="2"/>
      <c r="K19" s="2"/>
      <c r="L19" s="2"/>
      <c r="M19" s="2"/>
      <c r="N19" s="2"/>
      <c r="O19" s="2"/>
      <c r="P19" s="2"/>
      <c r="Q19" s="2"/>
      <c r="R19" s="2"/>
      <c r="S19" s="2"/>
      <c r="T19" s="2"/>
      <c r="U19" s="2"/>
      <c r="V19" s="2"/>
    </row>
    <row r="20" spans="1:22" x14ac:dyDescent="0.3">
      <c r="A20" s="2"/>
      <c r="B20" s="2"/>
      <c r="C20" s="2"/>
      <c r="D20" s="2"/>
      <c r="E20" s="2"/>
      <c r="F20" s="2"/>
      <c r="G20" s="2"/>
      <c r="H20" s="2"/>
      <c r="I20" s="2"/>
      <c r="J20" s="2"/>
      <c r="K20" s="2"/>
      <c r="L20" s="2"/>
      <c r="M20" s="2"/>
      <c r="N20" s="2"/>
      <c r="O20" s="2"/>
      <c r="P20" s="2"/>
      <c r="Q20" s="2"/>
      <c r="R20" s="2"/>
      <c r="S20" s="2"/>
      <c r="T20" s="2"/>
      <c r="U20" s="2"/>
      <c r="V20" s="2"/>
    </row>
    <row r="21" spans="1:22" x14ac:dyDescent="0.3">
      <c r="A21" s="2"/>
      <c r="B21" s="2"/>
      <c r="C21" s="2"/>
      <c r="D21" s="2"/>
      <c r="E21" s="2"/>
      <c r="F21" s="2"/>
      <c r="G21" s="2"/>
      <c r="H21" s="2"/>
      <c r="I21" s="2"/>
      <c r="J21" s="2"/>
      <c r="K21" s="2"/>
      <c r="L21" s="2"/>
      <c r="M21" s="2"/>
      <c r="N21" s="2"/>
      <c r="O21" s="2"/>
      <c r="P21" s="2"/>
      <c r="Q21" s="2"/>
      <c r="R21" s="2"/>
      <c r="S21" s="2"/>
      <c r="T21" s="2"/>
      <c r="U21" s="2"/>
      <c r="V21" s="2"/>
    </row>
    <row r="22" spans="1:22" x14ac:dyDescent="0.3">
      <c r="A22" s="2"/>
      <c r="B22" s="2"/>
      <c r="C22" s="2"/>
      <c r="D22" s="2"/>
      <c r="E22" s="2"/>
      <c r="F22" s="2"/>
      <c r="G22" s="2"/>
      <c r="H22" s="2"/>
      <c r="I22" s="2"/>
      <c r="J22" s="2"/>
      <c r="K22" s="2"/>
      <c r="L22" s="2"/>
      <c r="M22" s="2"/>
      <c r="N22" s="2"/>
      <c r="O22" s="2"/>
      <c r="P22" s="2"/>
      <c r="Q22" s="2"/>
      <c r="R22" s="2"/>
      <c r="S22" s="2"/>
      <c r="T22" s="2"/>
      <c r="U22" s="2"/>
      <c r="V22" s="2"/>
    </row>
    <row r="23" spans="1:22" x14ac:dyDescent="0.3">
      <c r="A23" s="2"/>
      <c r="B23" s="2"/>
      <c r="C23" s="2"/>
      <c r="D23" s="2"/>
      <c r="E23" s="2"/>
      <c r="F23" s="2"/>
      <c r="G23" s="2"/>
      <c r="H23" s="2"/>
      <c r="I23" s="2"/>
      <c r="J23" s="2"/>
      <c r="K23" s="2"/>
      <c r="L23" s="2"/>
      <c r="M23" s="2"/>
      <c r="N23" s="2"/>
      <c r="O23" s="2"/>
      <c r="P23" s="2"/>
      <c r="Q23" s="2"/>
      <c r="R23" s="2"/>
      <c r="S23" s="2"/>
      <c r="T23" s="2"/>
      <c r="U23" s="2"/>
      <c r="V23" s="2"/>
    </row>
    <row r="24" spans="1:22" x14ac:dyDescent="0.3">
      <c r="A24" s="2"/>
      <c r="B24" s="2"/>
      <c r="C24" s="2"/>
      <c r="D24" s="2"/>
      <c r="E24" s="2"/>
      <c r="F24" s="2"/>
      <c r="G24" s="2"/>
      <c r="H24" s="2"/>
      <c r="I24" s="2"/>
      <c r="J24" s="2"/>
      <c r="K24" s="2"/>
      <c r="L24" s="2"/>
      <c r="M24" s="2"/>
      <c r="N24" s="2"/>
      <c r="O24" s="2"/>
      <c r="P24" s="2"/>
      <c r="Q24" s="2"/>
      <c r="R24" s="2"/>
      <c r="S24" s="2"/>
      <c r="T24" s="2"/>
      <c r="U24" s="2"/>
      <c r="V24" s="2"/>
    </row>
    <row r="25" spans="1:22" x14ac:dyDescent="0.3">
      <c r="A25" s="2"/>
      <c r="B25" s="2"/>
      <c r="C25" s="2"/>
      <c r="D25" s="2"/>
      <c r="E25" s="2"/>
      <c r="F25" s="2"/>
      <c r="G25" s="2"/>
      <c r="H25" s="2"/>
      <c r="I25" s="2"/>
      <c r="J25" s="2"/>
      <c r="K25" s="2"/>
      <c r="L25" s="2"/>
      <c r="M25" s="2"/>
      <c r="N25" s="2"/>
      <c r="O25" s="2"/>
      <c r="P25" s="2"/>
      <c r="Q25" s="2"/>
      <c r="R25" s="2"/>
      <c r="S25" s="2"/>
      <c r="T25" s="2"/>
      <c r="U25" s="2"/>
      <c r="V25" s="2"/>
    </row>
    <row r="26" spans="1:22" x14ac:dyDescent="0.3">
      <c r="A26" s="2"/>
      <c r="B26" s="2"/>
      <c r="C26" s="2"/>
      <c r="D26" s="2"/>
      <c r="E26" s="2"/>
      <c r="F26" s="2"/>
      <c r="G26" s="2"/>
      <c r="H26" s="2"/>
      <c r="I26" s="2"/>
      <c r="J26" s="2"/>
      <c r="K26" s="2"/>
      <c r="L26" s="2"/>
      <c r="M26" s="2"/>
      <c r="N26" s="2"/>
      <c r="O26" s="2"/>
      <c r="P26" s="2"/>
      <c r="Q26" s="2"/>
      <c r="R26" s="2"/>
      <c r="S26" s="2"/>
      <c r="T26" s="2"/>
      <c r="U26" s="2"/>
      <c r="V26" s="2"/>
    </row>
    <row r="30" spans="1:22" x14ac:dyDescent="0.3">
      <c r="F30" s="13"/>
    </row>
  </sheetData>
  <customSheetViews>
    <customSheetView guid="{1BC8C909-2CA7-4A69-9B40-FF0C6C3F6B53}" scale="160">
      <selection activeCell="G17" sqref="G17"/>
      <pageMargins left="0.7" right="0.7" top="0.75" bottom="0.75" header="0.3" footer="0.3"/>
    </customSheetView>
  </customSheetView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9C63-D2F4-468F-87F6-88B44D283058}">
  <dimension ref="A1:Q26"/>
  <sheetViews>
    <sheetView workbookViewId="0"/>
  </sheetViews>
  <sheetFormatPr defaultRowHeight="14.4" x14ac:dyDescent="0.3"/>
  <sheetData>
    <row r="1" spans="1:17" x14ac:dyDescent="0.3">
      <c r="A1" s="7">
        <v>0</v>
      </c>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t="s">
        <v>11</v>
      </c>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row r="26" spans="1:17" x14ac:dyDescent="0.3">
      <c r="A26" s="7"/>
      <c r="B26" s="7"/>
      <c r="C26" s="7"/>
      <c r="D26" s="7"/>
      <c r="E26" s="7"/>
      <c r="F26" s="7"/>
      <c r="G26" s="7"/>
      <c r="H26" s="7"/>
      <c r="I26" s="7"/>
      <c r="J26" s="7"/>
      <c r="K26" s="7"/>
      <c r="L26" s="7"/>
      <c r="M26" s="7"/>
      <c r="N26" s="7"/>
      <c r="O26" s="7"/>
      <c r="P26" s="7"/>
      <c r="Q26" s="7"/>
    </row>
  </sheetData>
  <customSheetViews>
    <customSheetView guid="{1BC8C909-2CA7-4A69-9B40-FF0C6C3F6B53}">
      <pageMargins left="0.7" right="0.7" top="0.75" bottom="0.75" header="0.3" footer="0.3"/>
    </customSheetView>
  </customSheetView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DE97A-E1E4-4342-ABB3-3F3041BC3ACE}">
  <dimension ref="A1:Q22"/>
  <sheetViews>
    <sheetView workbookViewId="0"/>
  </sheetViews>
  <sheetFormatPr defaultRowHeight="14.4" x14ac:dyDescent="0.3"/>
  <sheetData>
    <row r="1" spans="1:17" x14ac:dyDescent="0.3">
      <c r="A1" s="7"/>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t="s">
        <v>9</v>
      </c>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sheetData>
  <customSheetViews>
    <customSheetView guid="{1BC8C909-2CA7-4A69-9B40-FF0C6C3F6B53}">
      <pageMargins left="0.7" right="0.7" top="0.75" bottom="0.75" header="0.3" footer="0.3"/>
    </customSheetView>
  </customSheetView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54C9-E4F2-42BD-9B63-83D4EEC26A71}">
  <dimension ref="A1:Q24"/>
  <sheetViews>
    <sheetView workbookViewId="0"/>
  </sheetViews>
  <sheetFormatPr defaultRowHeight="14.4" x14ac:dyDescent="0.3"/>
  <sheetData>
    <row r="1" spans="1:17" x14ac:dyDescent="0.3">
      <c r="A1" s="6"/>
      <c r="B1" s="6"/>
      <c r="C1" s="6"/>
      <c r="D1" s="6"/>
      <c r="E1" s="6"/>
      <c r="F1" s="6"/>
      <c r="G1" s="6"/>
      <c r="H1" s="6"/>
      <c r="I1" s="6"/>
      <c r="J1" s="6"/>
      <c r="K1" s="6"/>
      <c r="L1" s="6"/>
      <c r="M1" s="6"/>
      <c r="N1" s="6"/>
      <c r="O1" s="6"/>
      <c r="P1" s="6"/>
      <c r="Q1" s="6"/>
    </row>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x14ac:dyDescent="0.3">
      <c r="A14" s="6"/>
      <c r="B14" s="6"/>
      <c r="C14" s="6"/>
      <c r="D14" s="6"/>
      <c r="E14" s="6"/>
      <c r="F14" s="6"/>
      <c r="G14" s="6"/>
      <c r="H14" s="6"/>
      <c r="I14" s="6"/>
      <c r="J14" s="6"/>
      <c r="K14" s="6"/>
      <c r="L14" s="6"/>
      <c r="M14" s="6"/>
      <c r="N14" s="6"/>
      <c r="O14" s="6"/>
      <c r="P14" s="6"/>
      <c r="Q14" s="6"/>
    </row>
    <row r="15" spans="1:17" x14ac:dyDescent="0.3">
      <c r="A15" s="6"/>
      <c r="B15" s="6"/>
      <c r="C15" s="6"/>
      <c r="D15" s="6"/>
      <c r="E15" s="6"/>
      <c r="F15" s="6"/>
      <c r="G15" s="6"/>
      <c r="H15" s="6"/>
      <c r="I15" s="6"/>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row r="21" spans="1:17" x14ac:dyDescent="0.3">
      <c r="A21" s="6"/>
      <c r="B21" s="6" t="s">
        <v>8</v>
      </c>
      <c r="C21" s="6"/>
      <c r="D21" s="6"/>
      <c r="E21" s="6"/>
      <c r="F21" s="6"/>
      <c r="G21" s="6"/>
      <c r="H21" s="6"/>
      <c r="I21" s="6"/>
      <c r="J21" s="6"/>
      <c r="K21" s="6"/>
      <c r="L21" s="6"/>
      <c r="M21" s="6"/>
      <c r="N21" s="6"/>
      <c r="O21" s="6"/>
      <c r="P21" s="6"/>
      <c r="Q21" s="6"/>
    </row>
    <row r="22" spans="1:17" x14ac:dyDescent="0.3">
      <c r="A22" s="6"/>
      <c r="B22" s="6"/>
      <c r="C22" s="6"/>
      <c r="D22" s="6"/>
      <c r="E22" s="6"/>
      <c r="F22" s="6"/>
      <c r="G22" s="6"/>
      <c r="H22" s="6"/>
      <c r="I22" s="6"/>
      <c r="J22" s="6"/>
      <c r="K22" s="6"/>
      <c r="L22" s="6"/>
      <c r="M22" s="6"/>
      <c r="N22" s="6"/>
      <c r="O22" s="6"/>
      <c r="P22" s="6"/>
      <c r="Q22" s="6"/>
    </row>
    <row r="23" spans="1:17" x14ac:dyDescent="0.3">
      <c r="A23" s="6"/>
      <c r="B23" s="6"/>
      <c r="C23" s="6"/>
      <c r="D23" s="6"/>
      <c r="E23" s="6"/>
      <c r="F23" s="6"/>
      <c r="G23" s="6"/>
      <c r="H23" s="6"/>
      <c r="I23" s="6"/>
      <c r="J23" s="6"/>
      <c r="K23" s="6"/>
      <c r="L23" s="6"/>
      <c r="M23" s="6"/>
      <c r="N23" s="6"/>
      <c r="O23" s="6"/>
      <c r="P23" s="6"/>
      <c r="Q23" s="6"/>
    </row>
    <row r="24" spans="1:17" x14ac:dyDescent="0.3">
      <c r="A24" s="6"/>
      <c r="B24" s="6"/>
      <c r="C24" s="6"/>
      <c r="D24" s="6"/>
      <c r="E24" s="6"/>
      <c r="F24" s="6"/>
      <c r="G24" s="6"/>
      <c r="H24" s="6"/>
      <c r="I24" s="6"/>
      <c r="J24" s="6"/>
      <c r="K24" s="6"/>
      <c r="L24" s="6"/>
      <c r="M24" s="6"/>
      <c r="N24" s="6"/>
      <c r="O24" s="6"/>
      <c r="P24" s="6"/>
      <c r="Q24" s="6"/>
    </row>
  </sheetData>
  <customSheetViews>
    <customSheetView guid="{1BC8C909-2CA7-4A69-9B40-FF0C6C3F6B53}">
      <pageMargins left="0.7" right="0.7" top="0.75" bottom="0.75" header="0.3" footer="0.3"/>
    </customSheetView>
  </customSheetView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E010DA1-1FF4-4502-98F5-B09368C1C28D}">
  <ds:schemaRefs/>
</ds:datastoreItem>
</file>

<file path=customXml/itemProps2.xml><?xml version="1.0" encoding="utf-8"?>
<ds:datastoreItem xmlns:ds="http://schemas.openxmlformats.org/officeDocument/2006/customXml" ds:itemID="{F0B545E3-5481-48BF-BFC3-3A71067C76D9}">
  <ds:schemaRefs/>
</ds:datastoreItem>
</file>

<file path=customXml/itemProps3.xml><?xml version="1.0" encoding="utf-8"?>
<ds:datastoreItem xmlns:ds="http://schemas.openxmlformats.org/officeDocument/2006/customXml" ds:itemID="{0F3DDEED-8DA6-4E13-A74C-15A14D33D5CD}">
  <ds:schemaRefs/>
</ds:datastoreItem>
</file>

<file path=customXml/itemProps4.xml><?xml version="1.0" encoding="utf-8"?>
<ds:datastoreItem xmlns:ds="http://schemas.openxmlformats.org/officeDocument/2006/customXml" ds:itemID="{0BCA074B-740B-488A-80EB-B5EAF7AC82F8}">
  <ds:schemaRefs/>
</ds:datastoreItem>
</file>

<file path=customXml/itemProps5.xml><?xml version="1.0" encoding="utf-8"?>
<ds:datastoreItem xmlns:ds="http://schemas.openxmlformats.org/officeDocument/2006/customXml" ds:itemID="{61FB4C96-A95C-4844-934B-FF016ADFCE84}">
  <ds:schemaRefs/>
</ds:datastoreItem>
</file>

<file path=customXml/itemProps6.xml><?xml version="1.0" encoding="utf-8"?>
<ds:datastoreItem xmlns:ds="http://schemas.openxmlformats.org/officeDocument/2006/customXml" ds:itemID="{78511B42-E236-4327-9C40-3A13B8B48B5E}">
  <ds:schemaRefs/>
</ds:datastoreItem>
</file>

<file path=customXml/itemProps7.xml><?xml version="1.0" encoding="utf-8"?>
<ds:datastoreItem xmlns:ds="http://schemas.openxmlformats.org/officeDocument/2006/customXml" ds:itemID="{503804C4-EAEA-484C-8F41-17640B0D239E}">
  <ds:schemaRefs/>
</ds:datastoreItem>
</file>

<file path=customXml/itemProps8.xml><?xml version="1.0" encoding="utf-8"?>
<ds:datastoreItem xmlns:ds="http://schemas.openxmlformats.org/officeDocument/2006/customXml" ds:itemID="{58688DBC-7E5F-43F6-99E9-4532C65E3D54}">
  <ds:schemaRefs/>
</ds:datastoreItem>
</file>

<file path=customXml/itemProps9.xml><?xml version="1.0" encoding="utf-8"?>
<ds:datastoreItem xmlns:ds="http://schemas.openxmlformats.org/officeDocument/2006/customXml" ds:itemID="{7A53959F-8FB6-46C1-8E97-992931142C7A}">
  <ds:schemaRefs/>
</ds:datastoreItem>
</file>

<file path=customXml/itemProps10.xml><?xml version="1.0" encoding="utf-8"?>
<ds:datastoreItem xmlns:ds="http://schemas.openxmlformats.org/officeDocument/2006/customXml" ds:itemID="{44787353-74E6-454A-9B01-7C1F5212B594}">
  <ds:schemaRefs/>
</ds:datastoreItem>
</file>

<file path=customXml/itemProps11.xml><?xml version="1.0" encoding="utf-8"?>
<ds:datastoreItem xmlns:ds="http://schemas.openxmlformats.org/officeDocument/2006/customXml" ds:itemID="{BA9EB179-727B-4D45-A84D-24E8387A79C1}">
  <ds:schemaRefs/>
</ds:datastoreItem>
</file>

<file path=customXml/itemProps12.xml><?xml version="1.0" encoding="utf-8"?>
<ds:datastoreItem xmlns:ds="http://schemas.openxmlformats.org/officeDocument/2006/customXml" ds:itemID="{6A64A916-1AE3-4A43-A604-C9973F5B9C90}">
  <ds:schemaRefs>
    <ds:schemaRef ds:uri="http://schemas.microsoft.com/DataMashup"/>
  </ds:schemaRefs>
</ds:datastoreItem>
</file>

<file path=customXml/itemProps13.xml><?xml version="1.0" encoding="utf-8"?>
<ds:datastoreItem xmlns:ds="http://schemas.openxmlformats.org/officeDocument/2006/customXml" ds:itemID="{A9AE64BB-871A-4BB0-AF70-F0912D16F6AE}">
  <ds:schemaRefs/>
</ds:datastoreItem>
</file>

<file path=customXml/itemProps14.xml><?xml version="1.0" encoding="utf-8"?>
<ds:datastoreItem xmlns:ds="http://schemas.openxmlformats.org/officeDocument/2006/customXml" ds:itemID="{5295AAF7-E5BD-4D69-9834-F4DD389E0105}">
  <ds:schemaRefs/>
</ds:datastoreItem>
</file>

<file path=customXml/itemProps15.xml><?xml version="1.0" encoding="utf-8"?>
<ds:datastoreItem xmlns:ds="http://schemas.openxmlformats.org/officeDocument/2006/customXml" ds:itemID="{0A2187F7-D8FD-4C09-A2CD-A5364F344273}">
  <ds:schemaRefs/>
</ds:datastoreItem>
</file>

<file path=customXml/itemProps16.xml><?xml version="1.0" encoding="utf-8"?>
<ds:datastoreItem xmlns:ds="http://schemas.openxmlformats.org/officeDocument/2006/customXml" ds:itemID="{C7E980F8-0E71-4D97-B719-7AADD7FAF2CB}">
  <ds:schemaRefs/>
</ds:datastoreItem>
</file>

<file path=customXml/itemProps17.xml><?xml version="1.0" encoding="utf-8"?>
<ds:datastoreItem xmlns:ds="http://schemas.openxmlformats.org/officeDocument/2006/customXml" ds:itemID="{E54CE988-CE8C-49E9-A076-079A771FB3B7}">
  <ds:schemaRefs/>
</ds:datastoreItem>
</file>

<file path=customXml/itemProps18.xml><?xml version="1.0" encoding="utf-8"?>
<ds:datastoreItem xmlns:ds="http://schemas.openxmlformats.org/officeDocument/2006/customXml" ds:itemID="{97E61CEC-378B-47E6-8E20-AC82B432E1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daily trends</vt:lpstr>
      <vt:lpstr>Daily ER no of patient</vt:lpstr>
      <vt:lpstr>Average wait time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Aanya Shaikh</dc:creator>
  <cp:lastModifiedBy>Aanya Shaikh</cp:lastModifiedBy>
  <dcterms:created xsi:type="dcterms:W3CDTF">2025-12-28T09:45:16Z</dcterms:created>
  <dcterms:modified xsi:type="dcterms:W3CDTF">2026-01-07T19:02:04Z</dcterms:modified>
</cp:coreProperties>
</file>